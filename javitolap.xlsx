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eter\Desktop\2026_alapvizsga\2026_alapvizsga_eles\"/>
    </mc:Choice>
  </mc:AlternateContent>
  <xr:revisionPtr revIDLastSave="0" documentId="13_ncr:1_{5D75D280-CA12-40D5-B956-B10B14FB319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Webprogramozas" sheetId="5" r:id="rId1"/>
    <sheet name="Python" sheetId="6" r:id="rId2"/>
    <sheet name="Hálózat" sheetId="1" r:id="rId3"/>
    <sheet name="Összegezés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imotr4XuTZ7JEES1jhlMuxX4RhJw=="/>
    </ext>
  </extLst>
</workbook>
</file>

<file path=xl/calcChain.xml><?xml version="1.0" encoding="utf-8"?>
<calcChain xmlns="http://schemas.openxmlformats.org/spreadsheetml/2006/main">
  <c r="F35" i="1" l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E3" i="7"/>
  <c r="E4" i="7"/>
  <c r="E5" i="7"/>
  <c r="K5" i="7" s="1"/>
  <c r="E6" i="7"/>
  <c r="K6" i="7" s="1"/>
  <c r="E7" i="7"/>
  <c r="K7" i="7" s="1"/>
  <c r="E8" i="7"/>
  <c r="K8" i="7" s="1"/>
  <c r="E9" i="7"/>
  <c r="K9" i="7" s="1"/>
  <c r="E10" i="7"/>
  <c r="K10" i="7" s="1"/>
  <c r="E11" i="7"/>
  <c r="K11" i="7" s="1"/>
  <c r="E12" i="7"/>
  <c r="K12" i="7" s="1"/>
  <c r="E13" i="7"/>
  <c r="K13" i="7" s="1"/>
  <c r="E14" i="7"/>
  <c r="K14" i="7" s="1"/>
  <c r="E15" i="7"/>
  <c r="K15" i="7" s="1"/>
  <c r="E16" i="7"/>
  <c r="K16" i="7" s="1"/>
  <c r="E17" i="7"/>
  <c r="K17" i="7" s="1"/>
  <c r="E18" i="7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E39" i="5"/>
  <c r="C35" i="1"/>
  <c r="D35" i="1"/>
  <c r="E35" i="1"/>
  <c r="I18" i="7"/>
  <c r="J18" i="7" s="1"/>
  <c r="I4" i="7"/>
  <c r="J4" i="7" s="1"/>
  <c r="K4" i="7" s="1"/>
  <c r="I3" i="7"/>
  <c r="J3" i="7" s="1"/>
  <c r="K3" i="7" s="1"/>
  <c r="I2" i="7"/>
  <c r="J2" i="7" s="1"/>
  <c r="E2" i="7"/>
  <c r="K2" i="7" s="1"/>
  <c r="S31" i="6"/>
  <c r="E31" i="6"/>
  <c r="D31" i="6"/>
  <c r="C31" i="6"/>
  <c r="S39" i="5"/>
  <c r="D39" i="5"/>
  <c r="C39" i="5"/>
  <c r="B39" i="5"/>
  <c r="K18" i="7" l="1"/>
  <c r="B35" i="1"/>
</calcChain>
</file>

<file path=xl/sharedStrings.xml><?xml version="1.0" encoding="utf-8"?>
<sst xmlns="http://schemas.openxmlformats.org/spreadsheetml/2006/main" count="229" uniqueCount="149">
  <si>
    <t>A megoldás mentése, eszközök elhelyezése</t>
  </si>
  <si>
    <t>A programban a három forgalomirányítót elhelyezte, melyek mindegyikében minimum két Ethernet interfész (legalább 100 Mb/s sebességűek) és, ahol szükséges, legalább egy szinkron soros interfész megtalálható.</t>
  </si>
  <si>
    <t>A programban a két darab legalább 8 portos kapcsolót és a vezeték nélküli forgalomirányítót (SOHO forgalomirányító) elhelyezte.</t>
  </si>
  <si>
    <t>A programban a PC-ket, a szervert és egy vezeték nélküli klienst elhelyezte.</t>
  </si>
  <si>
    <t>Az eszközöket a topológiai ábrának megfelelően összekötötte.</t>
  </si>
  <si>
    <t>Statikus IP-címek beállítása, interfészek konfigurálása</t>
  </si>
  <si>
    <t>Alapbeállítások elvégzése</t>
  </si>
  <si>
    <t>Magyar nyelv beállítása</t>
  </si>
  <si>
    <t>utf-8 kódolás beállítása</t>
  </si>
  <si>
    <t>Az oldal címének beállítása</t>
  </si>
  <si>
    <t>A favicon elhelyezése</t>
  </si>
  <si>
    <t>A vezeték nélküli klienst csatlakoztatta a vezeték nélküli hálózathoz. A MOBIL eszköz megkapja a megfelelő IP-paramétereket. </t>
  </si>
  <si>
    <r>
      <t>Konfigurációk mentése</t>
    </r>
    <r>
      <rPr>
        <sz val="11"/>
        <color rgb="FF000000"/>
        <rFont val="Calibri"/>
        <family val="2"/>
        <charset val="238"/>
        <scheme val="minor"/>
      </rPr>
      <t> </t>
    </r>
  </si>
  <si>
    <t>stilus.css beimportálása</t>
  </si>
  <si>
    <t>helyes konstruktor</t>
  </si>
  <si>
    <t>Tanuló Neve</t>
  </si>
  <si>
    <t>Teszt szerezhető</t>
  </si>
  <si>
    <t>Teszt szerzett</t>
  </si>
  <si>
    <t>Teszt százalék</t>
  </si>
  <si>
    <t>Webszerkesztés</t>
  </si>
  <si>
    <t>Python</t>
  </si>
  <si>
    <t>Hálózat</t>
  </si>
  <si>
    <t>Szumma</t>
  </si>
  <si>
    <t>Gyak Százalék</t>
  </si>
  <si>
    <t>Végső százalék</t>
  </si>
  <si>
    <t>Ajánlott Osztályzat</t>
  </si>
  <si>
    <t>1.</t>
  </si>
  <si>
    <t>2.</t>
  </si>
  <si>
    <t>3.</t>
  </si>
  <si>
    <t>4.</t>
  </si>
  <si>
    <t>0%-39%</t>
  </si>
  <si>
    <t>40%-59%</t>
  </si>
  <si>
    <t>60%-74%</t>
  </si>
  <si>
    <t>75%-89%</t>
  </si>
  <si>
    <t>90%-100%</t>
  </si>
  <si>
    <t>Bootstrap js állomány beimportálása</t>
  </si>
  <si>
    <t>background-image helyes beállítása</t>
  </si>
  <si>
    <t>linkek megadása</t>
  </si>
  <si>
    <t>nagyság szerinti rendezés</t>
  </si>
  <si>
    <t>eredmény helyes kiíratása</t>
  </si>
  <si>
    <t>for ciklus szamok feltöltéséhez</t>
  </si>
  <si>
    <t>helyesen használta a with open()-t</t>
  </si>
  <si>
    <t>A forgalomirányítókon a csatlakoztatott interfészek felkapcsolt állapotban vannak.</t>
  </si>
  <si>
    <t>Minden hálózati eszköznek (a forgalomirányítóknak és a kapcsolóknak) a megadott nevet beállította.</t>
  </si>
  <si>
    <t>Bera Sára Laura</t>
  </si>
  <si>
    <t>Bihari Zsolt</t>
  </si>
  <si>
    <t>Botlik Csongor</t>
  </si>
  <si>
    <t>Bozóki Benedek Varsány</t>
  </si>
  <si>
    <t>Búza Leonárd</t>
  </si>
  <si>
    <t>Dunai Sándor Erik</t>
  </si>
  <si>
    <t>Faragó Levente Balázs</t>
  </si>
  <si>
    <t>Halmi Ádám István</t>
  </si>
  <si>
    <t>Koczán Balázs</t>
  </si>
  <si>
    <t>Magyar Hanna</t>
  </si>
  <si>
    <t>Ordas Bence</t>
  </si>
  <si>
    <t>Martinek Viktor</t>
  </si>
  <si>
    <t>Papdi Milán</t>
  </si>
  <si>
    <t>Papp Bence</t>
  </si>
  <si>
    <t>Sőreg János Gábor</t>
  </si>
  <si>
    <t>Tajti Máté</t>
  </si>
  <si>
    <t>Tóth Levente</t>
  </si>
  <si>
    <t>Bootstrap css állomány beimportálása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</si>
  <si>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</si>
  <si>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</si>
  <si>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</si>
  <si>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</si>
  <si>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</si>
  <si>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</si>
  <si>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</si>
  <si>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</si>
  <si>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</si>
  <si>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</si>
  <si>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</si>
  <si>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</si>
  <si>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</si>
  <si>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Az oldal reszponzív</t>
  </si>
  <si>
    <t>Az oldal háttérszíne #F6F3EF</t>
  </si>
  <si>
    <t>jumbotron id-vel elem létrehozása</t>
  </si>
  <si>
    <t>45em magasság beállítása</t>
  </si>
  <si>
    <t>background-size helyes beállítása</t>
  </si>
  <si>
    <t>nav háttérszíne #AFD695</t>
  </si>
  <si>
    <t>Blog középre zárt</t>
  </si>
  <si>
    <t>Blog display-1</t>
  </si>
  <si>
    <t>Blog m-4</t>
  </si>
  <si>
    <t>Blog kép img-fluid</t>
  </si>
  <si>
    <t>Blog kép w-100</t>
  </si>
  <si>
    <t>container col-sm-4</t>
  </si>
  <si>
    <t>termekeink.html beállítása</t>
  </si>
  <si>
    <t>about.html beállítása</t>
  </si>
  <si>
    <t>képek alatti szöveg h5</t>
  </si>
  <si>
    <t>táblázat - rowspan használata</t>
  </si>
  <si>
    <t>táblázat - border helyes beállítása</t>
  </si>
  <si>
    <t>táblázat - első cellák félkövérek</t>
  </si>
  <si>
    <t>lista - ul választása</t>
  </si>
  <si>
    <t>lista - list-style-type</t>
  </si>
  <si>
    <t>ins használata</t>
  </si>
  <si>
    <t>b vagy strong használata</t>
  </si>
  <si>
    <t>mark használata</t>
  </si>
  <si>
    <t>media használata</t>
  </si>
  <si>
    <t>nav #linkek { gap: 0.1px; }</t>
  </si>
  <si>
    <t>lista - square</t>
  </si>
  <si>
    <t>small használata</t>
  </si>
  <si>
    <t>képek alatti szöveg text-align és p-3</t>
  </si>
  <si>
    <t>2 pont</t>
  </si>
  <si>
    <t>1 pont</t>
  </si>
  <si>
    <t>for ciklus torták feltöltéséhez</t>
  </si>
  <si>
    <t>sorok strip().split(";")</t>
  </si>
  <si>
    <t>Torták számát meghatározta</t>
  </si>
  <si>
    <t>Kiíratás helyesen</t>
  </si>
  <si>
    <t>for ciklus használata</t>
  </si>
  <si>
    <t>return érték</t>
  </si>
  <si>
    <t>függvény helyes hívása</t>
  </si>
  <si>
    <t>f.write()</t>
  </si>
  <si>
    <t>rendeles metódus helyes létrehozása</t>
  </si>
  <si>
    <t>random beimportálása</t>
  </si>
  <si>
    <t>osszrendeles függvény</t>
  </si>
  <si>
    <t>Lista létrehozása</t>
  </si>
  <si>
    <t>Függvényhívás helyesen</t>
  </si>
  <si>
    <t>minErtek és maxErtek bekérése</t>
  </si>
  <si>
    <t>cakes listát létrehozta</t>
  </si>
  <si>
    <t>cakes feltöltése</t>
  </si>
  <si>
    <t>huszonnegyLaktozmentesOsszege-t helyesen létrehozta</t>
  </si>
  <si>
    <t>Cake osztály helyes létrehozása</t>
  </si>
  <si>
    <t>olcsoLaktozmentesSzamlalas metódus helyes létrehozása</t>
  </si>
  <si>
    <t>Cake helyes létrehozás</t>
  </si>
  <si>
    <t>cakes lista létrehozása és feltoltese</t>
  </si>
  <si>
    <t>Cakes keverése</t>
  </si>
  <si>
    <r>
      <t xml:space="preserve">A kész feladat legalább 6 eszközt tartalmaz, és a hálózatot </t>
    </r>
    <r>
      <rPr>
        <b/>
        <sz val="11"/>
        <color theme="1"/>
        <rFont val="Calibri"/>
        <family val="2"/>
        <charset val="238"/>
      </rPr>
      <t>zooszeged2026</t>
    </r>
    <r>
      <rPr>
        <sz val="11"/>
        <color theme="1"/>
        <rFont val="Calibri"/>
      </rPr>
      <t xml:space="preserve"> néven mentette a szimulációs program alapértelmezett formátumában.</t>
    </r>
  </si>
  <si>
    <t>Az IRODA_RT forgalomirányító összes interfészén az IP-címet és az alhálózati maszkot jól beállította.</t>
  </si>
  <si>
    <t>A SHOP_SW kapcsoló felügyeleti interfészén az IP-címet és az alhálózati maszkot jól beállította. 172.30.0.2        255.255.0.0</t>
  </si>
  <si>
    <t>A SHOP_SW kapcsolón az alapértelmezett átjáró IP-címét jól beállította.         172.30.0.1</t>
  </si>
  <si>
    <t>A 4 PC és a SZERVER számára helyes IP‑címet és alhálózati maszkot állított be.</t>
  </si>
  <si>
    <t>A 4 PC és a SZERVER számára helyes alapértelmezett átjárót állított be.</t>
  </si>
  <si>
    <t>Az IGAZGATO_RT forgalomirányító összes interfészén az IP-címet és az alhálózati maszkot jól beállította.</t>
  </si>
  <si>
    <t>Az ORVOS_RT forgalomirányító összes interfészén az IP-címet és az alhálózati maszkot jól beállította.</t>
  </si>
  <si>
    <r>
      <t xml:space="preserve">Az IGAZGATO_SW kapcsoló privilegizált jelszava a </t>
    </r>
    <r>
      <rPr>
        <b/>
        <sz val="11"/>
        <color theme="1"/>
        <rFont val="Calibri"/>
      </rPr>
      <t>enaigazgato</t>
    </r>
    <r>
      <rPr>
        <sz val="11"/>
        <color theme="1"/>
        <rFont val="Calibri"/>
      </rPr>
      <t>.</t>
    </r>
  </si>
  <si>
    <r>
      <t xml:space="preserve">Az IGAZGATO_SW kapcsoló a konzol porthoz tartozó jelszavát és annak aktiválását az  megadta </t>
    </r>
    <r>
      <rPr>
        <b/>
        <sz val="11"/>
        <color theme="1"/>
        <rFont val="Calibri"/>
      </rPr>
      <t xml:space="preserve">conigazgato </t>
    </r>
    <r>
      <rPr>
        <sz val="11"/>
        <color theme="1"/>
        <rFont val="Calibri"/>
      </rPr>
      <t>jelszóval megadta.</t>
    </r>
  </si>
  <si>
    <r>
      <t xml:space="preserve">Az IGAZGATO_SW kapcsoló a távoli eléréshez tartozó jelszavát és annak aktiválását a </t>
    </r>
    <r>
      <rPr>
        <b/>
        <sz val="11"/>
        <color theme="1"/>
        <rFont val="Calibri"/>
      </rPr>
      <t>vtyigazgato</t>
    </r>
    <r>
      <rPr>
        <sz val="11"/>
        <color theme="1"/>
        <rFont val="Calibri"/>
      </rPr>
      <t xml:space="preserve"> paranccsal megadta.</t>
    </r>
  </si>
  <si>
    <t>A IGAZGATO_SW kapcsoló jelszavak nem olvashatók ki a futó konfiguráció megjelenítésekor.</t>
  </si>
  <si>
    <r>
      <t xml:space="preserve">Figyelmeztetést állított be </t>
    </r>
    <r>
      <rPr>
        <b/>
        <sz val="11"/>
        <color theme="1"/>
        <rFont val="Calibri"/>
      </rPr>
      <t>Tilos az allatok zavarasa!</t>
    </r>
  </si>
  <si>
    <t>UGYFEL_NET hálózat beállítása </t>
  </si>
  <si>
    <t>A SHOP_WIFI eszköz LAN felőli IP-címét és alhálózati maszkját helyesen beállította. 192.168.100.1 255.255.255.0</t>
  </si>
  <si>
    <r>
      <t>Az SSID </t>
    </r>
    <r>
      <rPr>
        <b/>
        <sz val="11"/>
        <color theme="1"/>
        <rFont val="Calibri"/>
      </rPr>
      <t>VASARLO</t>
    </r>
    <r>
      <rPr>
        <sz val="11"/>
        <color theme="1"/>
        <rFont val="Calibri"/>
      </rPr>
      <t>-ra állította.</t>
    </r>
  </si>
  <si>
    <t>A forgalomirányítókon és az IGAZGATO_SW kapcsoló konfigurációját helyileg mentette. </t>
  </si>
  <si>
    <r>
      <t>WPA2 hitelesítést állított be, és a kulcs</t>
    </r>
    <r>
      <rPr>
        <b/>
        <sz val="11"/>
        <color theme="1"/>
        <rFont val="Calibri"/>
        <family val="2"/>
        <charset val="238"/>
      </rPr>
      <t> allatkert123</t>
    </r>
  </si>
  <si>
    <r>
      <t>A DHCP szerverszolgáltatásnál a DNS szerver IP-címét helyesen beállította. (</t>
    </r>
    <r>
      <rPr>
        <b/>
        <sz val="11"/>
        <color theme="1"/>
        <rFont val="Calibri"/>
      </rPr>
      <t>4.4.4.4</t>
    </r>
    <r>
      <rPr>
        <sz val="11"/>
        <color theme="1"/>
        <rFont val="Calibri"/>
      </rPr>
      <t>)</t>
    </r>
  </si>
  <si>
    <r>
      <t>A DHCP szerver szolgáltatásnál a kezdő IP-címet és a maximális kliensszámot helyesen beállította. (</t>
    </r>
    <r>
      <rPr>
        <b/>
        <sz val="11"/>
        <color theme="1"/>
        <rFont val="Calibri"/>
      </rPr>
      <t>20 és 60</t>
    </r>
    <r>
      <rPr>
        <sz val="11"/>
        <color theme="1"/>
        <rFont val="Calibri"/>
      </rPr>
      <t>)</t>
    </r>
  </si>
  <si>
    <t>A 4 PC és a SZERVER számára helyes DNS kiszolgáló címet állított be. 4.4.4.4</t>
  </si>
  <si>
    <t>A SHOP_WIFI eszköz internet portján megfelelő IP-címet, alhálózati maszkot, alapértelmezett átjárót és DNS kiszolgáló címet állított be. 172.30.0.3  255.255.0.0.   172.30.0.1  4.4.4.4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</si>
</sst>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 pont&quot;"/>
    <numFmt numFmtId="165" formatCode="#,##0&quot; pont&quot;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</font>
    <font>
      <sz val="11"/>
      <color rgb="FF000000"/>
      <name val="Calibri"/>
    </font>
    <font>
      <b/>
      <sz val="11"/>
      <color rgb="FF000000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b/>
      <i/>
      <sz val="11"/>
      <color rgb="FF000000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sz val="11"/>
      <name val="Calibri"/>
      <family val="2"/>
      <charset val="238"/>
    </font>
    <font>
      <sz val="11"/>
      <name val="Calibri"/>
      <family val="2"/>
      <charset val="238"/>
      <scheme val="minor"/>
    </font>
    <font>
      <sz val="14"/>
      <color theme="1"/>
      <name val="Calibri"/>
    </font>
    <font>
      <b/>
      <sz val="14"/>
      <color theme="1"/>
      <name val="Calibri"/>
    </font>
    <font>
      <b/>
      <sz val="14"/>
      <color theme="1"/>
      <name val="Calibri"/>
      <family val="2"/>
      <charset val="238"/>
    </font>
    <font>
      <sz val="14"/>
      <color rgb="FF000000"/>
      <name val="Calibri"/>
      <family val="2"/>
      <charset val="238"/>
    </font>
    <font>
      <sz val="14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</font>
    <font>
      <sz val="11"/>
      <color rgb="FF000000"/>
      <name val="Calibri"/>
      <scheme val="minor"/>
    </font>
    <font>
      <b/>
      <sz val="11"/>
      <color theme="1"/>
      <name val="Calibri"/>
    </font>
    <font>
      <sz val="8"/>
      <name val="Calibri"/>
      <scheme val="minor"/>
    </font>
    <font>
      <b/>
      <sz val="11"/>
      <color theme="1"/>
      <name val="Calibri"/>
      <family val="2"/>
      <charset val="238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DEEAF6"/>
        <bgColor rgb="FFFFFF00"/>
      </patternFill>
    </fill>
    <fill>
      <patternFill patternType="solid">
        <fgColor theme="5" tint="0.59999389629810485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9" tint="0.79998168889431442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8" tint="0.39997558519241921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D9E2F3"/>
        <bgColor indexed="64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rgb="FFC8C8C8"/>
        <bgColor rgb="FFC8C8C8"/>
      </patternFill>
    </fill>
    <fill>
      <patternFill patternType="solid">
        <fgColor rgb="FFDEEAF6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D96E"/>
        <bgColor indexed="64"/>
      </patternFill>
    </fill>
    <fill>
      <patternFill patternType="solid">
        <fgColor rgb="FFC8C8C8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3" fillId="0" borderId="0" xfId="0" applyFont="1" applyAlignment="1">
      <alignment textRotation="90"/>
    </xf>
    <xf numFmtId="164" fontId="0" fillId="0" borderId="0" xfId="0" applyNumberFormat="1"/>
    <xf numFmtId="0" fontId="2" fillId="0" borderId="0" xfId="0" applyFont="1"/>
    <xf numFmtId="0" fontId="5" fillId="0" borderId="1" xfId="0" applyFont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5" fillId="0" borderId="2" xfId="0" applyFont="1" applyBorder="1" applyAlignment="1">
      <alignment vertical="center" wrapText="1"/>
    </xf>
    <xf numFmtId="0" fontId="0" fillId="2" borderId="0" xfId="0" applyFill="1"/>
    <xf numFmtId="0" fontId="3" fillId="3" borderId="5" xfId="0" applyFont="1" applyFill="1" applyBorder="1"/>
    <xf numFmtId="0" fontId="8" fillId="3" borderId="5" xfId="0" applyFont="1" applyFill="1" applyBorder="1"/>
    <xf numFmtId="0" fontId="10" fillId="0" borderId="0" xfId="0" applyFont="1"/>
    <xf numFmtId="0" fontId="3" fillId="4" borderId="5" xfId="0" applyFont="1" applyFill="1" applyBorder="1" applyAlignment="1">
      <alignment wrapText="1"/>
    </xf>
    <xf numFmtId="0" fontId="3" fillId="4" borderId="5" xfId="0" applyFont="1" applyFill="1" applyBorder="1"/>
    <xf numFmtId="0" fontId="8" fillId="4" borderId="5" xfId="0" applyFont="1" applyFill="1" applyBorder="1" applyAlignment="1">
      <alignment wrapText="1"/>
    </xf>
    <xf numFmtId="0" fontId="8" fillId="3" borderId="5" xfId="0" applyFont="1" applyFill="1" applyBorder="1" applyAlignment="1">
      <alignment wrapText="1"/>
    </xf>
    <xf numFmtId="0" fontId="3" fillId="5" borderId="5" xfId="0" applyFont="1" applyFill="1" applyBorder="1"/>
    <xf numFmtId="0" fontId="3" fillId="5" borderId="5" xfId="0" applyFont="1" applyFill="1" applyBorder="1" applyAlignment="1">
      <alignment wrapText="1"/>
    </xf>
    <xf numFmtId="0" fontId="8" fillId="5" borderId="5" xfId="0" applyFont="1" applyFill="1" applyBorder="1" applyAlignment="1">
      <alignment wrapText="1"/>
    </xf>
    <xf numFmtId="0" fontId="3" fillId="6" borderId="5" xfId="0" applyFont="1" applyFill="1" applyBorder="1"/>
    <xf numFmtId="0" fontId="3" fillId="7" borderId="5" xfId="0" applyFont="1" applyFill="1" applyBorder="1"/>
    <xf numFmtId="0" fontId="11" fillId="8" borderId="0" xfId="0" applyFont="1" applyFill="1" applyAlignment="1">
      <alignment horizontal="center" wrapText="1"/>
    </xf>
    <xf numFmtId="0" fontId="11" fillId="8" borderId="6" xfId="0" applyFont="1" applyFill="1" applyBorder="1" applyAlignment="1">
      <alignment horizontal="center" wrapText="1"/>
    </xf>
    <xf numFmtId="0" fontId="12" fillId="8" borderId="6" xfId="0" applyFont="1" applyFill="1" applyBorder="1" applyAlignment="1">
      <alignment horizontal="center" wrapText="1"/>
    </xf>
    <xf numFmtId="0" fontId="11" fillId="8" borderId="7" xfId="0" applyFont="1" applyFill="1" applyBorder="1" applyAlignment="1">
      <alignment horizontal="center" wrapText="1"/>
    </xf>
    <xf numFmtId="0" fontId="11" fillId="8" borderId="3" xfId="0" applyFont="1" applyFill="1" applyBorder="1" applyAlignment="1">
      <alignment horizontal="center" wrapText="1"/>
    </xf>
    <xf numFmtId="0" fontId="13" fillId="8" borderId="8" xfId="0" applyFont="1" applyFill="1" applyBorder="1" applyAlignment="1">
      <alignment horizontal="center" wrapText="1"/>
    </xf>
    <xf numFmtId="0" fontId="3" fillId="8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11" fillId="8" borderId="9" xfId="0" applyFont="1" applyFill="1" applyBorder="1"/>
    <xf numFmtId="0" fontId="14" fillId="0" borderId="3" xfId="0" applyFont="1" applyBorder="1"/>
    <xf numFmtId="0" fontId="11" fillId="8" borderId="3" xfId="0" applyFont="1" applyFill="1" applyBorder="1" applyAlignment="1">
      <alignment horizontal="center"/>
    </xf>
    <xf numFmtId="9" fontId="12" fillId="9" borderId="3" xfId="0" applyNumberFormat="1" applyFont="1" applyFill="1" applyBorder="1" applyAlignment="1">
      <alignment horizontal="center"/>
    </xf>
    <xf numFmtId="0" fontId="11" fillId="8" borderId="10" xfId="0" applyFont="1" applyFill="1" applyBorder="1" applyAlignment="1">
      <alignment horizontal="center"/>
    </xf>
    <xf numFmtId="0" fontId="15" fillId="10" borderId="3" xfId="0" applyFont="1" applyFill="1" applyBorder="1" applyAlignment="1">
      <alignment horizontal="center" wrapText="1"/>
    </xf>
    <xf numFmtId="9" fontId="12" fillId="11" borderId="11" xfId="0" applyNumberFormat="1" applyFont="1" applyFill="1" applyBorder="1" applyAlignment="1">
      <alignment horizontal="center"/>
    </xf>
    <xf numFmtId="9" fontId="12" fillId="12" borderId="3" xfId="0" applyNumberFormat="1" applyFont="1" applyFill="1" applyBorder="1" applyAlignment="1">
      <alignment horizontal="center"/>
    </xf>
    <xf numFmtId="3" fontId="12" fillId="8" borderId="3" xfId="0" applyNumberFormat="1" applyFont="1" applyFill="1" applyBorder="1" applyAlignment="1">
      <alignment horizontal="center"/>
    </xf>
    <xf numFmtId="0" fontId="3" fillId="8" borderId="0" xfId="0" applyFont="1" applyFill="1"/>
    <xf numFmtId="0" fontId="16" fillId="8" borderId="3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right"/>
    </xf>
    <xf numFmtId="0" fontId="16" fillId="8" borderId="3" xfId="0" applyFont="1" applyFill="1" applyBorder="1" applyAlignment="1">
      <alignment horizontal="right"/>
    </xf>
    <xf numFmtId="0" fontId="4" fillId="0" borderId="3" xfId="0" applyFont="1" applyBorder="1" applyAlignment="1">
      <alignment textRotation="90"/>
    </xf>
    <xf numFmtId="0" fontId="3" fillId="13" borderId="3" xfId="0" applyFont="1" applyFill="1" applyBorder="1" applyAlignment="1">
      <alignment wrapText="1"/>
    </xf>
    <xf numFmtId="164" fontId="3" fillId="13" borderId="3" xfId="0" applyNumberFormat="1" applyFont="1" applyFill="1" applyBorder="1"/>
    <xf numFmtId="0" fontId="3" fillId="13" borderId="3" xfId="0" applyFont="1" applyFill="1" applyBorder="1"/>
    <xf numFmtId="0" fontId="3" fillId="13" borderId="4" xfId="0" applyFont="1" applyFill="1" applyBorder="1" applyAlignment="1">
      <alignment wrapText="1"/>
    </xf>
    <xf numFmtId="164" fontId="3" fillId="13" borderId="4" xfId="0" applyNumberFormat="1" applyFont="1" applyFill="1" applyBorder="1"/>
    <xf numFmtId="0" fontId="3" fillId="13" borderId="4" xfId="0" applyFont="1" applyFill="1" applyBorder="1"/>
    <xf numFmtId="0" fontId="3" fillId="14" borderId="5" xfId="0" applyFont="1" applyFill="1" applyBorder="1"/>
    <xf numFmtId="164" fontId="3" fillId="14" borderId="5" xfId="0" applyNumberFormat="1" applyFont="1" applyFill="1" applyBorder="1"/>
    <xf numFmtId="0" fontId="3" fillId="14" borderId="4" xfId="0" applyFont="1" applyFill="1" applyBorder="1"/>
    <xf numFmtId="0" fontId="3" fillId="13" borderId="5" xfId="0" applyFont="1" applyFill="1" applyBorder="1"/>
    <xf numFmtId="164" fontId="3" fillId="13" borderId="5" xfId="0" applyNumberFormat="1" applyFont="1" applyFill="1" applyBorder="1"/>
    <xf numFmtId="0" fontId="8" fillId="13" borderId="5" xfId="0" applyFont="1" applyFill="1" applyBorder="1"/>
    <xf numFmtId="0" fontId="9" fillId="13" borderId="5" xfId="0" applyFont="1" applyFill="1" applyBorder="1"/>
    <xf numFmtId="164" fontId="9" fillId="13" borderId="5" xfId="0" applyNumberFormat="1" applyFont="1" applyFill="1" applyBorder="1"/>
    <xf numFmtId="164" fontId="3" fillId="13" borderId="6" xfId="0" applyNumberFormat="1" applyFont="1" applyFill="1" applyBorder="1"/>
    <xf numFmtId="0" fontId="3" fillId="14" borderId="3" xfId="0" applyFont="1" applyFill="1" applyBorder="1"/>
    <xf numFmtId="164" fontId="3" fillId="14" borderId="6" xfId="0" applyNumberFormat="1" applyFont="1" applyFill="1" applyBorder="1"/>
    <xf numFmtId="0" fontId="17" fillId="3" borderId="5" xfId="0" applyFont="1" applyFill="1" applyBorder="1" applyAlignment="1">
      <alignment wrapText="1"/>
    </xf>
    <xf numFmtId="0" fontId="3" fillId="15" borderId="9" xfId="0" applyFont="1" applyFill="1" applyBorder="1" applyAlignment="1">
      <alignment vertical="center" wrapText="1"/>
    </xf>
    <xf numFmtId="165" fontId="3" fillId="15" borderId="3" xfId="0" applyNumberFormat="1" applyFont="1" applyFill="1" applyBorder="1" applyAlignment="1">
      <alignment horizontal="right" wrapText="1"/>
    </xf>
    <xf numFmtId="0" fontId="2" fillId="16" borderId="3" xfId="0" applyFont="1" applyFill="1" applyBorder="1"/>
    <xf numFmtId="0" fontId="3" fillId="17" borderId="5" xfId="0" applyFont="1" applyFill="1" applyBorder="1" applyAlignment="1">
      <alignment vertical="center" wrapText="1"/>
    </xf>
    <xf numFmtId="0" fontId="3" fillId="18" borderId="5" xfId="0" applyFont="1" applyFill="1" applyBorder="1" applyAlignment="1">
      <alignment vertical="center" wrapText="1"/>
    </xf>
    <xf numFmtId="0" fontId="3" fillId="19" borderId="5" xfId="0" applyFont="1" applyFill="1" applyBorder="1" applyAlignment="1">
      <alignment vertical="center" wrapText="1"/>
    </xf>
    <xf numFmtId="165" fontId="3" fillId="3" borderId="3" xfId="0" applyNumberFormat="1" applyFont="1" applyFill="1" applyBorder="1" applyAlignment="1">
      <alignment horizontal="right" wrapText="1"/>
    </xf>
    <xf numFmtId="0" fontId="2" fillId="20" borderId="3" xfId="0" applyFont="1" applyFill="1" applyBorder="1"/>
    <xf numFmtId="165" fontId="3" fillId="17" borderId="9" xfId="0" applyNumberFormat="1" applyFont="1" applyFill="1" applyBorder="1" applyAlignment="1">
      <alignment horizontal="right" wrapText="1"/>
    </xf>
    <xf numFmtId="0" fontId="2" fillId="21" borderId="3" xfId="0" applyFont="1" applyFill="1" applyBorder="1"/>
    <xf numFmtId="165" fontId="3" fillId="18" borderId="9" xfId="0" applyNumberFormat="1" applyFont="1" applyFill="1" applyBorder="1" applyAlignment="1">
      <alignment horizontal="right" wrapText="1"/>
    </xf>
    <xf numFmtId="0" fontId="2" fillId="22" borderId="3" xfId="0" applyFont="1" applyFill="1" applyBorder="1"/>
    <xf numFmtId="165" fontId="3" fillId="19" borderId="9" xfId="0" applyNumberFormat="1" applyFont="1" applyFill="1" applyBorder="1" applyAlignment="1">
      <alignment horizontal="right" wrapText="1"/>
    </xf>
    <xf numFmtId="0" fontId="2" fillId="23" borderId="3" xfId="0" applyFont="1" applyFill="1" applyBorder="1"/>
    <xf numFmtId="0" fontId="7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right" wrapText="1"/>
    </xf>
    <xf numFmtId="0" fontId="5" fillId="0" borderId="12" xfId="0" applyFont="1" applyBorder="1" applyAlignment="1">
      <alignment vertical="center" wrapText="1"/>
    </xf>
    <xf numFmtId="164" fontId="9" fillId="14" borderId="5" xfId="0" applyNumberFormat="1" applyFont="1" applyFill="1" applyBorder="1"/>
    <xf numFmtId="0" fontId="9" fillId="14" borderId="5" xfId="0" applyFont="1" applyFill="1" applyBorder="1"/>
    <xf numFmtId="0" fontId="8" fillId="14" borderId="5" xfId="0" applyFont="1" applyFill="1" applyBorder="1"/>
    <xf numFmtId="0" fontId="1" fillId="14" borderId="0" xfId="0" applyFont="1" applyFill="1"/>
    <xf numFmtId="0" fontId="8" fillId="13" borderId="3" xfId="0" applyFont="1" applyFill="1" applyBorder="1"/>
    <xf numFmtId="0" fontId="8" fillId="6" borderId="5" xfId="0" applyFont="1" applyFill="1" applyBorder="1"/>
    <xf numFmtId="164" fontId="3" fillId="4" borderId="5" xfId="0" applyNumberFormat="1" applyFont="1" applyFill="1" applyBorder="1" applyAlignment="1">
      <alignment horizontal="right"/>
    </xf>
    <xf numFmtId="164" fontId="3" fillId="6" borderId="5" xfId="0" applyNumberFormat="1" applyFont="1" applyFill="1" applyBorder="1" applyAlignment="1">
      <alignment horizontal="right"/>
    </xf>
    <xf numFmtId="164" fontId="3" fillId="3" borderId="5" xfId="0" applyNumberFormat="1" applyFont="1" applyFill="1" applyBorder="1" applyAlignment="1">
      <alignment horizontal="right"/>
    </xf>
    <xf numFmtId="164" fontId="3" fillId="5" borderId="5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right"/>
    </xf>
    <xf numFmtId="0" fontId="6" fillId="3" borderId="5" xfId="0" applyFont="1" applyFill="1" applyBorder="1" applyAlignment="1">
      <alignment wrapText="1"/>
    </xf>
    <xf numFmtId="0" fontId="8" fillId="5" borderId="5" xfId="0" applyFont="1" applyFill="1" applyBorder="1"/>
    <xf numFmtId="0" fontId="8" fillId="15" borderId="9" xfId="0" applyFont="1" applyFill="1" applyBorder="1" applyAlignment="1">
      <alignment vertical="center" wrapText="1"/>
    </xf>
    <xf numFmtId="0" fontId="8" fillId="17" borderId="5" xfId="0" applyFont="1" applyFill="1" applyBorder="1" applyAlignment="1">
      <alignment vertical="center" wrapText="1"/>
    </xf>
    <xf numFmtId="0" fontId="8" fillId="18" borderId="5" xfId="0" applyFont="1" applyFill="1" applyBorder="1" applyAlignment="1">
      <alignment wrapText="1"/>
    </xf>
    <xf numFmtId="0" fontId="8" fillId="18" borderId="5" xfId="0" applyFont="1" applyFill="1" applyBorder="1" applyAlignment="1">
      <alignment vertical="center" wrapText="1"/>
    </xf>
    <xf numFmtId="0" fontId="8" fillId="19" borderId="5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center" wrapText="1"/>
    </xf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DEEAF6"/>
      <color rgb="FFC8C8C8"/>
      <color rgb="FFFFD96E"/>
      <color rgb="FFC5E0B3"/>
      <color rgb="FFD9E2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3FDB0-7D37-4D6D-997A-6219C9CD2D62}">
  <dimension ref="A1:X39"/>
  <sheetViews>
    <sheetView topLeftCell="A8" zoomScaleNormal="100" workbookViewId="0">
      <pane xSplit="1" topLeftCell="B1" activePane="topRight" state="frozen"/>
      <selection pane="topRight" activeCell="A29" sqref="A29"/>
    </sheetView>
  </sheetViews>
  <sheetFormatPr defaultRowHeight="15" x14ac:dyDescent="0.25"/>
  <cols>
    <col min="1" max="1" width="52.140625" customWidth="1"/>
    <col min="2" max="2" width="9" customWidth="1"/>
    <col min="3" max="19" width="9.140625" customWidth="1"/>
  </cols>
  <sheetData>
    <row r="1" spans="1:24" ht="120.75" customHeight="1" x14ac:dyDescent="0.25">
      <c r="A1" s="1"/>
      <c r="B1" s="1"/>
      <c r="C1" s="41" t="s">
        <v>44</v>
      </c>
      <c r="D1" s="41" t="s">
        <v>45</v>
      </c>
      <c r="E1" s="41" t="s">
        <v>46</v>
      </c>
      <c r="F1" s="41" t="s">
        <v>47</v>
      </c>
      <c r="G1" s="41" t="s">
        <v>48</v>
      </c>
      <c r="H1" s="41" t="s">
        <v>49</v>
      </c>
      <c r="I1" s="41" t="s">
        <v>50</v>
      </c>
      <c r="J1" s="41" t="s">
        <v>51</v>
      </c>
      <c r="K1" s="41" t="s">
        <v>52</v>
      </c>
      <c r="L1" s="41" t="s">
        <v>53</v>
      </c>
      <c r="M1" s="41" t="s">
        <v>55</v>
      </c>
      <c r="N1" s="41" t="s">
        <v>54</v>
      </c>
      <c r="O1" s="41" t="s">
        <v>56</v>
      </c>
      <c r="P1" s="41" t="s">
        <v>57</v>
      </c>
      <c r="Q1" s="41" t="s">
        <v>58</v>
      </c>
      <c r="R1" s="41" t="s">
        <v>59</v>
      </c>
      <c r="S1" s="41" t="s">
        <v>60</v>
      </c>
      <c r="U1" s="1"/>
      <c r="V1" s="1"/>
      <c r="W1" s="1"/>
      <c r="X1" s="1"/>
    </row>
    <row r="2" spans="1:24" x14ac:dyDescent="0.25">
      <c r="A2" s="42" t="s">
        <v>61</v>
      </c>
      <c r="B2" s="43">
        <v>1</v>
      </c>
      <c r="C2" s="44">
        <v>0</v>
      </c>
      <c r="D2" s="44">
        <v>0</v>
      </c>
      <c r="E2" s="44">
        <v>0</v>
      </c>
      <c r="F2" s="44">
        <v>0</v>
      </c>
      <c r="G2" s="44">
        <v>0</v>
      </c>
      <c r="H2" s="44">
        <v>0</v>
      </c>
      <c r="I2" s="44">
        <v>0</v>
      </c>
      <c r="J2" s="44">
        <v>0</v>
      </c>
      <c r="K2" s="44">
        <v>0</v>
      </c>
      <c r="L2" s="44">
        <v>0</v>
      </c>
      <c r="M2" s="44">
        <v>0</v>
      </c>
      <c r="N2" s="44">
        <v>0</v>
      </c>
      <c r="O2" s="44">
        <v>0</v>
      </c>
      <c r="P2" s="44">
        <v>0</v>
      </c>
      <c r="Q2" s="44">
        <v>0</v>
      </c>
      <c r="R2" s="44">
        <v>0</v>
      </c>
      <c r="S2" s="44">
        <v>0</v>
      </c>
    </row>
    <row r="3" spans="1:24" ht="17.25" customHeight="1" x14ac:dyDescent="0.25">
      <c r="A3" s="45" t="s">
        <v>35</v>
      </c>
      <c r="B3" s="46">
        <v>1</v>
      </c>
      <c r="C3" s="47">
        <v>0</v>
      </c>
      <c r="D3" s="47">
        <v>0</v>
      </c>
      <c r="E3" s="44">
        <v>0</v>
      </c>
      <c r="F3" s="44">
        <v>0</v>
      </c>
      <c r="G3" s="44">
        <v>0</v>
      </c>
      <c r="H3" s="44">
        <v>0</v>
      </c>
      <c r="I3" s="44">
        <v>0</v>
      </c>
      <c r="J3" s="44">
        <v>0</v>
      </c>
      <c r="K3" s="44">
        <v>0</v>
      </c>
      <c r="L3" s="44">
        <v>0</v>
      </c>
      <c r="M3" s="44">
        <v>0</v>
      </c>
      <c r="N3" s="44">
        <v>0</v>
      </c>
      <c r="O3" s="44">
        <v>0</v>
      </c>
      <c r="P3" s="44">
        <v>0</v>
      </c>
      <c r="Q3" s="44">
        <v>0</v>
      </c>
      <c r="R3" s="44">
        <v>0</v>
      </c>
      <c r="S3" s="47">
        <v>0</v>
      </c>
    </row>
    <row r="4" spans="1:24" x14ac:dyDescent="0.25">
      <c r="A4" s="48" t="s">
        <v>7</v>
      </c>
      <c r="B4" s="49">
        <v>1</v>
      </c>
      <c r="C4" s="50">
        <v>0</v>
      </c>
      <c r="D4" s="50">
        <v>0</v>
      </c>
      <c r="E4" s="57">
        <v>0</v>
      </c>
      <c r="F4" s="57">
        <v>0</v>
      </c>
      <c r="G4" s="57">
        <v>0</v>
      </c>
      <c r="H4" s="57">
        <v>0</v>
      </c>
      <c r="I4" s="57">
        <v>0</v>
      </c>
      <c r="J4" s="57">
        <v>0</v>
      </c>
      <c r="K4" s="57">
        <v>0</v>
      </c>
      <c r="L4" s="57">
        <v>0</v>
      </c>
      <c r="M4" s="57">
        <v>0</v>
      </c>
      <c r="N4" s="57">
        <v>0</v>
      </c>
      <c r="O4" s="57">
        <v>0</v>
      </c>
      <c r="P4" s="57">
        <v>0</v>
      </c>
      <c r="Q4" s="57">
        <v>0</v>
      </c>
      <c r="R4" s="57">
        <v>0</v>
      </c>
      <c r="S4" s="50">
        <v>0</v>
      </c>
    </row>
    <row r="5" spans="1:24" x14ac:dyDescent="0.25">
      <c r="A5" s="48" t="s">
        <v>8</v>
      </c>
      <c r="B5" s="49">
        <v>1</v>
      </c>
      <c r="C5" s="50">
        <v>0</v>
      </c>
      <c r="D5" s="50">
        <v>0</v>
      </c>
      <c r="E5" s="57">
        <v>0</v>
      </c>
      <c r="F5" s="57">
        <v>0</v>
      </c>
      <c r="G5" s="57">
        <v>0</v>
      </c>
      <c r="H5" s="57">
        <v>0</v>
      </c>
      <c r="I5" s="57">
        <v>0</v>
      </c>
      <c r="J5" s="57">
        <v>0</v>
      </c>
      <c r="K5" s="57">
        <v>0</v>
      </c>
      <c r="L5" s="57">
        <v>0</v>
      </c>
      <c r="M5" s="57">
        <v>0</v>
      </c>
      <c r="N5" s="57">
        <v>0</v>
      </c>
      <c r="O5" s="57">
        <v>0</v>
      </c>
      <c r="P5" s="57">
        <v>0</v>
      </c>
      <c r="Q5" s="57">
        <v>0</v>
      </c>
      <c r="R5" s="57">
        <v>0</v>
      </c>
      <c r="S5" s="50">
        <v>0</v>
      </c>
    </row>
    <row r="6" spans="1:24" x14ac:dyDescent="0.25">
      <c r="A6" s="48" t="s">
        <v>9</v>
      </c>
      <c r="B6" s="49">
        <v>1</v>
      </c>
      <c r="C6" s="50">
        <v>0</v>
      </c>
      <c r="D6" s="50">
        <v>0</v>
      </c>
      <c r="E6" s="57">
        <v>0</v>
      </c>
      <c r="F6" s="57">
        <v>0</v>
      </c>
      <c r="G6" s="57">
        <v>0</v>
      </c>
      <c r="H6" s="57">
        <v>0</v>
      </c>
      <c r="I6" s="57">
        <v>0</v>
      </c>
      <c r="J6" s="57">
        <v>0</v>
      </c>
      <c r="K6" s="57">
        <v>0</v>
      </c>
      <c r="L6" s="57">
        <v>0</v>
      </c>
      <c r="M6" s="57">
        <v>0</v>
      </c>
      <c r="N6" s="57">
        <v>0</v>
      </c>
      <c r="O6" s="57">
        <v>0</v>
      </c>
      <c r="P6" s="57">
        <v>0</v>
      </c>
      <c r="Q6" s="57">
        <v>0</v>
      </c>
      <c r="R6" s="57">
        <v>0</v>
      </c>
      <c r="S6" s="50">
        <v>0</v>
      </c>
    </row>
    <row r="7" spans="1:24" x14ac:dyDescent="0.25">
      <c r="A7" s="79" t="s">
        <v>75</v>
      </c>
      <c r="B7" s="49">
        <v>1</v>
      </c>
      <c r="C7" s="50"/>
      <c r="D7" s="50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0"/>
    </row>
    <row r="8" spans="1:24" x14ac:dyDescent="0.25">
      <c r="A8" s="51" t="s">
        <v>10</v>
      </c>
      <c r="B8" s="52">
        <v>1</v>
      </c>
      <c r="C8" s="47">
        <v>0</v>
      </c>
      <c r="D8" s="47">
        <v>0</v>
      </c>
      <c r="E8" s="44">
        <v>0</v>
      </c>
      <c r="F8" s="44">
        <v>0</v>
      </c>
      <c r="G8" s="44">
        <v>0</v>
      </c>
      <c r="H8" s="44">
        <v>0</v>
      </c>
      <c r="I8" s="44">
        <v>0</v>
      </c>
      <c r="J8" s="44">
        <v>0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44">
        <v>0</v>
      </c>
      <c r="Q8" s="44">
        <v>0</v>
      </c>
      <c r="R8" s="44">
        <v>0</v>
      </c>
      <c r="S8" s="47">
        <v>0</v>
      </c>
    </row>
    <row r="9" spans="1:24" x14ac:dyDescent="0.25">
      <c r="A9" s="53" t="s">
        <v>13</v>
      </c>
      <c r="B9" s="52">
        <v>1</v>
      </c>
      <c r="C9" s="47">
        <v>0</v>
      </c>
      <c r="D9" s="47">
        <v>0</v>
      </c>
      <c r="E9" s="44">
        <v>0</v>
      </c>
      <c r="F9" s="44">
        <v>0</v>
      </c>
      <c r="G9" s="44">
        <v>0</v>
      </c>
      <c r="H9" s="44">
        <v>0</v>
      </c>
      <c r="I9" s="44">
        <v>0</v>
      </c>
      <c r="J9" s="44">
        <v>0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44">
        <v>0</v>
      </c>
      <c r="Q9" s="44">
        <v>0</v>
      </c>
      <c r="R9" s="44">
        <v>0</v>
      </c>
      <c r="S9" s="47">
        <v>0</v>
      </c>
    </row>
    <row r="10" spans="1:24" x14ac:dyDescent="0.25">
      <c r="A10" s="79" t="s">
        <v>76</v>
      </c>
      <c r="B10" s="49">
        <v>1</v>
      </c>
      <c r="C10" s="50">
        <v>0</v>
      </c>
      <c r="D10" s="50">
        <v>0</v>
      </c>
      <c r="E10" s="57">
        <v>0</v>
      </c>
      <c r="F10" s="57">
        <v>0</v>
      </c>
      <c r="G10" s="57">
        <v>0</v>
      </c>
      <c r="H10" s="57">
        <v>0</v>
      </c>
      <c r="I10" s="57">
        <v>0</v>
      </c>
      <c r="J10" s="57">
        <v>0</v>
      </c>
      <c r="K10" s="57">
        <v>0</v>
      </c>
      <c r="L10" s="57">
        <v>0</v>
      </c>
      <c r="M10" s="57">
        <v>0</v>
      </c>
      <c r="N10" s="57">
        <v>0</v>
      </c>
      <c r="O10" s="57">
        <v>0</v>
      </c>
      <c r="P10" s="57">
        <v>0</v>
      </c>
      <c r="Q10" s="57">
        <v>0</v>
      </c>
      <c r="R10" s="57">
        <v>0</v>
      </c>
      <c r="S10" s="50">
        <v>0</v>
      </c>
    </row>
    <row r="11" spans="1:24" x14ac:dyDescent="0.25">
      <c r="A11" s="53" t="s">
        <v>80</v>
      </c>
      <c r="B11" s="52">
        <v>1</v>
      </c>
      <c r="C11" s="47">
        <v>0</v>
      </c>
      <c r="D11" s="47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44">
        <v>0</v>
      </c>
      <c r="Q11" s="44">
        <v>0</v>
      </c>
      <c r="R11" s="44">
        <v>0</v>
      </c>
      <c r="S11" s="47">
        <v>0</v>
      </c>
    </row>
    <row r="12" spans="1:24" x14ac:dyDescent="0.25">
      <c r="A12" s="51" t="s">
        <v>37</v>
      </c>
      <c r="B12" s="52">
        <v>1</v>
      </c>
      <c r="C12" s="47">
        <v>0</v>
      </c>
      <c r="D12" s="47">
        <v>0</v>
      </c>
      <c r="E12" s="44">
        <v>0</v>
      </c>
      <c r="F12" s="44">
        <v>0</v>
      </c>
      <c r="G12" s="44">
        <v>0</v>
      </c>
      <c r="H12" s="44">
        <v>0</v>
      </c>
      <c r="I12" s="44">
        <v>0</v>
      </c>
      <c r="J12" s="44">
        <v>0</v>
      </c>
      <c r="K12" s="44">
        <v>0</v>
      </c>
      <c r="L12" s="44">
        <v>0</v>
      </c>
      <c r="M12" s="44">
        <v>0</v>
      </c>
      <c r="N12" s="44">
        <v>0</v>
      </c>
      <c r="O12" s="44">
        <v>0</v>
      </c>
      <c r="P12" s="44">
        <v>0</v>
      </c>
      <c r="Q12" s="44">
        <v>0</v>
      </c>
      <c r="R12" s="44">
        <v>0</v>
      </c>
      <c r="S12" s="47">
        <v>0</v>
      </c>
    </row>
    <row r="13" spans="1:24" x14ac:dyDescent="0.25">
      <c r="A13" s="79" t="s">
        <v>77</v>
      </c>
      <c r="B13" s="49">
        <v>1</v>
      </c>
      <c r="C13" s="50">
        <v>0</v>
      </c>
      <c r="D13" s="50">
        <v>0</v>
      </c>
      <c r="E13" s="57">
        <v>0</v>
      </c>
      <c r="F13" s="57">
        <v>0</v>
      </c>
      <c r="G13" s="57">
        <v>0</v>
      </c>
      <c r="H13" s="57">
        <v>0</v>
      </c>
      <c r="I13" s="57">
        <v>0</v>
      </c>
      <c r="J13" s="57">
        <v>0</v>
      </c>
      <c r="K13" s="57">
        <v>0</v>
      </c>
      <c r="L13" s="57">
        <v>0</v>
      </c>
      <c r="M13" s="57">
        <v>0</v>
      </c>
      <c r="N13" s="57">
        <v>0</v>
      </c>
      <c r="O13" s="57">
        <v>0</v>
      </c>
      <c r="P13" s="57">
        <v>0</v>
      </c>
      <c r="Q13" s="57">
        <v>0</v>
      </c>
      <c r="R13" s="57">
        <v>0</v>
      </c>
      <c r="S13" s="50">
        <v>0</v>
      </c>
    </row>
    <row r="14" spans="1:24" x14ac:dyDescent="0.25">
      <c r="A14" s="79" t="s">
        <v>78</v>
      </c>
      <c r="B14" s="49">
        <v>1</v>
      </c>
      <c r="C14" s="50">
        <v>0</v>
      </c>
      <c r="D14" s="50">
        <v>0</v>
      </c>
      <c r="E14" s="57">
        <v>0</v>
      </c>
      <c r="F14" s="57">
        <v>0</v>
      </c>
      <c r="G14" s="57">
        <v>0</v>
      </c>
      <c r="H14" s="57">
        <v>0</v>
      </c>
      <c r="I14" s="57">
        <v>0</v>
      </c>
      <c r="J14" s="57">
        <v>0</v>
      </c>
      <c r="K14" s="57">
        <v>0</v>
      </c>
      <c r="L14" s="57">
        <v>0</v>
      </c>
      <c r="M14" s="57">
        <v>0</v>
      </c>
      <c r="N14" s="57">
        <v>0</v>
      </c>
      <c r="O14" s="57">
        <v>0</v>
      </c>
      <c r="P14" s="57">
        <v>0</v>
      </c>
      <c r="Q14" s="57">
        <v>0</v>
      </c>
      <c r="R14" s="57">
        <v>0</v>
      </c>
      <c r="S14" s="50">
        <v>0</v>
      </c>
    </row>
    <row r="15" spans="1:24" ht="18" customHeight="1" x14ac:dyDescent="0.25">
      <c r="A15" s="48" t="s">
        <v>36</v>
      </c>
      <c r="B15" s="49">
        <v>1</v>
      </c>
      <c r="C15" s="50">
        <v>0</v>
      </c>
      <c r="D15" s="50">
        <v>0</v>
      </c>
      <c r="E15" s="57">
        <v>0</v>
      </c>
      <c r="F15" s="57">
        <v>0</v>
      </c>
      <c r="G15" s="57">
        <v>0</v>
      </c>
      <c r="H15" s="57">
        <v>0</v>
      </c>
      <c r="I15" s="57">
        <v>0</v>
      </c>
      <c r="J15" s="57">
        <v>0</v>
      </c>
      <c r="K15" s="57">
        <v>0</v>
      </c>
      <c r="L15" s="57">
        <v>0</v>
      </c>
      <c r="M15" s="57">
        <v>0</v>
      </c>
      <c r="N15" s="57">
        <v>0</v>
      </c>
      <c r="O15" s="57">
        <v>0</v>
      </c>
      <c r="P15" s="57">
        <v>0</v>
      </c>
      <c r="Q15" s="57">
        <v>0</v>
      </c>
      <c r="R15" s="57">
        <v>0</v>
      </c>
      <c r="S15" s="50">
        <v>0</v>
      </c>
    </row>
    <row r="16" spans="1:24" x14ac:dyDescent="0.25">
      <c r="A16" s="79" t="s">
        <v>79</v>
      </c>
      <c r="B16" s="49">
        <v>1</v>
      </c>
      <c r="C16" s="50">
        <v>0</v>
      </c>
      <c r="D16" s="50">
        <v>0</v>
      </c>
      <c r="E16" s="57">
        <v>0</v>
      </c>
      <c r="F16" s="57">
        <v>0</v>
      </c>
      <c r="G16" s="57">
        <v>0</v>
      </c>
      <c r="H16" s="57">
        <v>0</v>
      </c>
      <c r="I16" s="57">
        <v>0</v>
      </c>
      <c r="J16" s="57">
        <v>0</v>
      </c>
      <c r="K16" s="57">
        <v>0</v>
      </c>
      <c r="L16" s="57">
        <v>0</v>
      </c>
      <c r="M16" s="57">
        <v>0</v>
      </c>
      <c r="N16" s="57">
        <v>0</v>
      </c>
      <c r="O16" s="57">
        <v>0</v>
      </c>
      <c r="P16" s="57">
        <v>0</v>
      </c>
      <c r="Q16" s="57">
        <v>0</v>
      </c>
      <c r="R16" s="57">
        <v>0</v>
      </c>
      <c r="S16" s="50">
        <v>0</v>
      </c>
    </row>
    <row r="17" spans="1:19" s="10" customFormat="1" x14ac:dyDescent="0.25">
      <c r="A17" s="54" t="s">
        <v>81</v>
      </c>
      <c r="B17" s="55">
        <v>1</v>
      </c>
      <c r="C17" s="47">
        <v>0</v>
      </c>
      <c r="D17" s="47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7">
        <v>0</v>
      </c>
    </row>
    <row r="18" spans="1:19" s="10" customFormat="1" x14ac:dyDescent="0.25">
      <c r="A18" s="54" t="s">
        <v>83</v>
      </c>
      <c r="B18" s="55">
        <v>1</v>
      </c>
      <c r="C18" s="47">
        <v>0</v>
      </c>
      <c r="D18" s="47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7">
        <v>0</v>
      </c>
    </row>
    <row r="19" spans="1:19" s="10" customFormat="1" x14ac:dyDescent="0.25">
      <c r="A19" s="54" t="s">
        <v>82</v>
      </c>
      <c r="B19" s="55">
        <v>1</v>
      </c>
      <c r="C19" s="47">
        <v>0</v>
      </c>
      <c r="D19" s="47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7">
        <v>0</v>
      </c>
    </row>
    <row r="20" spans="1:19" s="10" customFormat="1" x14ac:dyDescent="0.25">
      <c r="A20" s="54" t="s">
        <v>84</v>
      </c>
      <c r="B20" s="55">
        <v>1</v>
      </c>
      <c r="C20" s="47">
        <v>0</v>
      </c>
      <c r="D20" s="47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v>0</v>
      </c>
      <c r="L20" s="44">
        <v>0</v>
      </c>
      <c r="M20" s="44">
        <v>0</v>
      </c>
      <c r="N20" s="44">
        <v>0</v>
      </c>
      <c r="O20" s="44">
        <v>0</v>
      </c>
      <c r="P20" s="44">
        <v>0</v>
      </c>
      <c r="Q20" s="44">
        <v>0</v>
      </c>
      <c r="R20" s="44">
        <v>0</v>
      </c>
      <c r="S20" s="47">
        <v>0</v>
      </c>
    </row>
    <row r="21" spans="1:19" s="10" customFormat="1" x14ac:dyDescent="0.25">
      <c r="A21" s="54" t="s">
        <v>85</v>
      </c>
      <c r="B21" s="55">
        <v>1</v>
      </c>
      <c r="C21" s="47">
        <v>0</v>
      </c>
      <c r="D21" s="47">
        <v>0</v>
      </c>
      <c r="E21" s="44">
        <v>0</v>
      </c>
      <c r="F21" s="44">
        <v>0</v>
      </c>
      <c r="G21" s="44">
        <v>0</v>
      </c>
      <c r="H21" s="44">
        <v>0</v>
      </c>
      <c r="I21" s="44">
        <v>0</v>
      </c>
      <c r="J21" s="44">
        <v>0</v>
      </c>
      <c r="K21" s="44">
        <v>0</v>
      </c>
      <c r="L21" s="44">
        <v>0</v>
      </c>
      <c r="M21" s="44">
        <v>0</v>
      </c>
      <c r="N21" s="44">
        <v>0</v>
      </c>
      <c r="O21" s="44">
        <v>0</v>
      </c>
      <c r="P21" s="44">
        <v>0</v>
      </c>
      <c r="Q21" s="44">
        <v>0</v>
      </c>
      <c r="R21" s="44">
        <v>0</v>
      </c>
      <c r="S21" s="47">
        <v>0</v>
      </c>
    </row>
    <row r="22" spans="1:19" s="10" customFormat="1" x14ac:dyDescent="0.25">
      <c r="A22" s="54" t="s">
        <v>86</v>
      </c>
      <c r="B22" s="55">
        <v>2</v>
      </c>
      <c r="C22" s="47">
        <v>0</v>
      </c>
      <c r="D22" s="47">
        <v>0</v>
      </c>
      <c r="E22" s="44">
        <v>0</v>
      </c>
      <c r="F22" s="44">
        <v>0</v>
      </c>
      <c r="G22" s="44">
        <v>0</v>
      </c>
      <c r="H22" s="44">
        <v>0</v>
      </c>
      <c r="I22" s="44">
        <v>0</v>
      </c>
      <c r="J22" s="44">
        <v>0</v>
      </c>
      <c r="K22" s="44">
        <v>0</v>
      </c>
      <c r="L22" s="44">
        <v>0</v>
      </c>
      <c r="M22" s="44">
        <v>0</v>
      </c>
      <c r="N22" s="44">
        <v>0</v>
      </c>
      <c r="O22" s="44">
        <v>0</v>
      </c>
      <c r="P22" s="44">
        <v>0</v>
      </c>
      <c r="Q22" s="44">
        <v>0</v>
      </c>
      <c r="R22" s="44">
        <v>0</v>
      </c>
      <c r="S22" s="47">
        <v>0</v>
      </c>
    </row>
    <row r="23" spans="1:19" x14ac:dyDescent="0.25">
      <c r="A23" s="79" t="s">
        <v>87</v>
      </c>
      <c r="B23" s="49">
        <v>1</v>
      </c>
      <c r="C23" s="50">
        <v>0</v>
      </c>
      <c r="D23" s="50">
        <v>0</v>
      </c>
      <c r="E23" s="57">
        <v>0</v>
      </c>
      <c r="F23" s="57">
        <v>0</v>
      </c>
      <c r="G23" s="57">
        <v>0</v>
      </c>
      <c r="H23" s="57">
        <v>0</v>
      </c>
      <c r="I23" s="57">
        <v>0</v>
      </c>
      <c r="J23" s="57">
        <v>0</v>
      </c>
      <c r="K23" s="57">
        <v>0</v>
      </c>
      <c r="L23" s="57">
        <v>0</v>
      </c>
      <c r="M23" s="57">
        <v>0</v>
      </c>
      <c r="N23" s="57">
        <v>0</v>
      </c>
      <c r="O23" s="57">
        <v>0</v>
      </c>
      <c r="P23" s="57">
        <v>0</v>
      </c>
      <c r="Q23" s="57">
        <v>0</v>
      </c>
      <c r="R23" s="57">
        <v>0</v>
      </c>
      <c r="S23" s="50">
        <v>0</v>
      </c>
    </row>
    <row r="24" spans="1:19" x14ac:dyDescent="0.25">
      <c r="A24" s="79" t="s">
        <v>88</v>
      </c>
      <c r="B24" s="49">
        <v>1</v>
      </c>
      <c r="C24" s="50">
        <v>0</v>
      </c>
      <c r="D24" s="50">
        <v>0</v>
      </c>
      <c r="E24" s="57">
        <v>0</v>
      </c>
      <c r="F24" s="57">
        <v>0</v>
      </c>
      <c r="G24" s="57">
        <v>0</v>
      </c>
      <c r="H24" s="57">
        <v>0</v>
      </c>
      <c r="I24" s="57">
        <v>0</v>
      </c>
      <c r="J24" s="57">
        <v>0</v>
      </c>
      <c r="K24" s="57">
        <v>0</v>
      </c>
      <c r="L24" s="57">
        <v>0</v>
      </c>
      <c r="M24" s="57">
        <v>0</v>
      </c>
      <c r="N24" s="57">
        <v>0</v>
      </c>
      <c r="O24" s="57">
        <v>0</v>
      </c>
      <c r="P24" s="57">
        <v>0</v>
      </c>
      <c r="Q24" s="57">
        <v>0</v>
      </c>
      <c r="R24" s="57">
        <v>0</v>
      </c>
      <c r="S24" s="50">
        <v>0</v>
      </c>
    </row>
    <row r="25" spans="1:19" x14ac:dyDescent="0.25">
      <c r="A25" s="53" t="s">
        <v>90</v>
      </c>
      <c r="B25" s="52">
        <v>1</v>
      </c>
      <c r="C25" s="47">
        <v>0</v>
      </c>
      <c r="D25" s="47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7">
        <v>0</v>
      </c>
    </row>
    <row r="26" spans="1:19" x14ac:dyDescent="0.25">
      <c r="A26" s="53" t="s">
        <v>91</v>
      </c>
      <c r="B26" s="52">
        <v>1</v>
      </c>
      <c r="C26" s="47">
        <v>0</v>
      </c>
      <c r="D26" s="47">
        <v>0</v>
      </c>
      <c r="E26" s="44">
        <v>0</v>
      </c>
      <c r="F26" s="44">
        <v>0</v>
      </c>
      <c r="G26" s="44">
        <v>0</v>
      </c>
      <c r="H26" s="44">
        <v>0</v>
      </c>
      <c r="I26" s="44">
        <v>0</v>
      </c>
      <c r="J26" s="44">
        <v>0</v>
      </c>
      <c r="K26" s="44">
        <v>0</v>
      </c>
      <c r="L26" s="44">
        <v>0</v>
      </c>
      <c r="M26" s="44">
        <v>0</v>
      </c>
      <c r="N26" s="44">
        <v>0</v>
      </c>
      <c r="O26" s="44">
        <v>0</v>
      </c>
      <c r="P26" s="44">
        <v>0</v>
      </c>
      <c r="Q26" s="44">
        <v>0</v>
      </c>
      <c r="R26" s="44">
        <v>0</v>
      </c>
      <c r="S26" s="47">
        <v>0</v>
      </c>
    </row>
    <row r="27" spans="1:19" x14ac:dyDescent="0.25">
      <c r="A27" s="53" t="s">
        <v>92</v>
      </c>
      <c r="B27" s="52">
        <v>2</v>
      </c>
      <c r="C27" s="47">
        <v>0</v>
      </c>
      <c r="D27" s="47">
        <v>0</v>
      </c>
      <c r="E27" s="44">
        <v>0</v>
      </c>
      <c r="F27" s="44">
        <v>0</v>
      </c>
      <c r="G27" s="44">
        <v>0</v>
      </c>
      <c r="H27" s="44">
        <v>0</v>
      </c>
      <c r="I27" s="44">
        <v>0</v>
      </c>
      <c r="J27" s="44">
        <v>0</v>
      </c>
      <c r="K27" s="44">
        <v>0</v>
      </c>
      <c r="L27" s="44">
        <v>0</v>
      </c>
      <c r="M27" s="44">
        <v>0</v>
      </c>
      <c r="N27" s="44">
        <v>0</v>
      </c>
      <c r="O27" s="44">
        <v>0</v>
      </c>
      <c r="P27" s="44">
        <v>0</v>
      </c>
      <c r="Q27" s="44">
        <v>0</v>
      </c>
      <c r="R27" s="44">
        <v>0</v>
      </c>
      <c r="S27" s="47">
        <v>0</v>
      </c>
    </row>
    <row r="28" spans="1:19" s="10" customFormat="1" x14ac:dyDescent="0.25">
      <c r="A28" s="79" t="s">
        <v>89</v>
      </c>
      <c r="B28" s="49">
        <v>1</v>
      </c>
      <c r="C28" s="50">
        <v>0</v>
      </c>
      <c r="D28" s="50">
        <v>0</v>
      </c>
      <c r="E28" s="57">
        <v>0</v>
      </c>
      <c r="F28" s="57">
        <v>0</v>
      </c>
      <c r="G28" s="57">
        <v>0</v>
      </c>
      <c r="H28" s="57">
        <v>0</v>
      </c>
      <c r="I28" s="57">
        <v>0</v>
      </c>
      <c r="J28" s="57">
        <v>0</v>
      </c>
      <c r="K28" s="57">
        <v>0</v>
      </c>
      <c r="L28" s="57">
        <v>0</v>
      </c>
      <c r="M28" s="57">
        <v>0</v>
      </c>
      <c r="N28" s="57">
        <v>0</v>
      </c>
      <c r="O28" s="57">
        <v>0</v>
      </c>
      <c r="P28" s="57">
        <v>0</v>
      </c>
      <c r="Q28" s="57">
        <v>0</v>
      </c>
      <c r="R28" s="57">
        <v>0</v>
      </c>
      <c r="S28" s="50">
        <v>0</v>
      </c>
    </row>
    <row r="29" spans="1:19" x14ac:dyDescent="0.25">
      <c r="A29" s="79" t="s">
        <v>102</v>
      </c>
      <c r="B29" s="49">
        <v>1</v>
      </c>
      <c r="C29" s="50">
        <v>0</v>
      </c>
      <c r="D29" s="50">
        <v>0</v>
      </c>
      <c r="E29" s="57">
        <v>0</v>
      </c>
      <c r="F29" s="57">
        <v>0</v>
      </c>
      <c r="G29" s="57">
        <v>0</v>
      </c>
      <c r="H29" s="57">
        <v>0</v>
      </c>
      <c r="I29" s="57">
        <v>0</v>
      </c>
      <c r="J29" s="57">
        <v>0</v>
      </c>
      <c r="K29" s="57">
        <v>0</v>
      </c>
      <c r="L29" s="57">
        <v>0</v>
      </c>
      <c r="M29" s="57">
        <v>0</v>
      </c>
      <c r="N29" s="57">
        <v>0</v>
      </c>
      <c r="O29" s="57">
        <v>0</v>
      </c>
      <c r="P29" s="57">
        <v>0</v>
      </c>
      <c r="Q29" s="57">
        <v>0</v>
      </c>
      <c r="R29" s="57">
        <v>0</v>
      </c>
      <c r="S29" s="50">
        <v>0</v>
      </c>
    </row>
    <row r="30" spans="1:19" s="10" customFormat="1" x14ac:dyDescent="0.25">
      <c r="A30" s="53" t="s">
        <v>93</v>
      </c>
      <c r="B30" s="55">
        <v>1</v>
      </c>
      <c r="C30" s="47">
        <v>0</v>
      </c>
      <c r="D30" s="47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7">
        <v>0</v>
      </c>
    </row>
    <row r="31" spans="1:19" s="10" customFormat="1" x14ac:dyDescent="0.25">
      <c r="A31" s="54" t="s">
        <v>94</v>
      </c>
      <c r="B31" s="55">
        <v>1</v>
      </c>
      <c r="C31" s="47">
        <v>0</v>
      </c>
      <c r="D31" s="47">
        <v>0</v>
      </c>
      <c r="E31" s="44">
        <v>0</v>
      </c>
      <c r="F31" s="44">
        <v>0</v>
      </c>
      <c r="G31" s="44">
        <v>0</v>
      </c>
      <c r="H31" s="44">
        <v>0</v>
      </c>
      <c r="I31" s="44">
        <v>0</v>
      </c>
      <c r="J31" s="44">
        <v>0</v>
      </c>
      <c r="K31" s="44">
        <v>0</v>
      </c>
      <c r="L31" s="44">
        <v>0</v>
      </c>
      <c r="M31" s="44">
        <v>0</v>
      </c>
      <c r="N31" s="44">
        <v>0</v>
      </c>
      <c r="O31" s="44">
        <v>0</v>
      </c>
      <c r="P31" s="44">
        <v>0</v>
      </c>
      <c r="Q31" s="44">
        <v>0</v>
      </c>
      <c r="R31" s="44">
        <v>0</v>
      </c>
      <c r="S31" s="47">
        <v>0</v>
      </c>
    </row>
    <row r="32" spans="1:19" x14ac:dyDescent="0.25">
      <c r="A32" s="51" t="s">
        <v>100</v>
      </c>
      <c r="B32" s="52">
        <v>1</v>
      </c>
      <c r="C32" s="47">
        <v>0</v>
      </c>
      <c r="D32" s="47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v>0</v>
      </c>
      <c r="L32" s="44">
        <v>0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44">
        <v>0</v>
      </c>
      <c r="S32" s="47">
        <v>0</v>
      </c>
    </row>
    <row r="33" spans="1:19" x14ac:dyDescent="0.25">
      <c r="A33" s="79" t="s">
        <v>95</v>
      </c>
      <c r="B33" s="77">
        <v>1</v>
      </c>
      <c r="C33" s="50">
        <v>0</v>
      </c>
      <c r="D33" s="50">
        <v>0</v>
      </c>
      <c r="E33" s="57">
        <v>0</v>
      </c>
      <c r="F33" s="57">
        <v>0</v>
      </c>
      <c r="G33" s="57">
        <v>0</v>
      </c>
      <c r="H33" s="57">
        <v>0</v>
      </c>
      <c r="I33" s="57">
        <v>0</v>
      </c>
      <c r="J33" s="57">
        <v>0</v>
      </c>
      <c r="K33" s="57">
        <v>0</v>
      </c>
      <c r="L33" s="57">
        <v>0</v>
      </c>
      <c r="M33" s="57">
        <v>0</v>
      </c>
      <c r="N33" s="57">
        <v>0</v>
      </c>
      <c r="O33" s="57">
        <v>0</v>
      </c>
      <c r="P33" s="57">
        <v>0</v>
      </c>
      <c r="Q33" s="57">
        <v>0</v>
      </c>
      <c r="R33" s="57">
        <v>0</v>
      </c>
      <c r="S33" s="50">
        <v>0</v>
      </c>
    </row>
    <row r="34" spans="1:19" x14ac:dyDescent="0.25">
      <c r="A34" s="79" t="s">
        <v>101</v>
      </c>
      <c r="B34" s="77">
        <v>1</v>
      </c>
      <c r="C34" s="50">
        <v>0</v>
      </c>
      <c r="D34" s="50">
        <v>0</v>
      </c>
      <c r="E34" s="57">
        <v>0</v>
      </c>
      <c r="F34" s="57">
        <v>0</v>
      </c>
      <c r="G34" s="57">
        <v>0</v>
      </c>
      <c r="H34" s="57">
        <v>0</v>
      </c>
      <c r="I34" s="57">
        <v>0</v>
      </c>
      <c r="J34" s="57">
        <v>0</v>
      </c>
      <c r="K34" s="57">
        <v>0</v>
      </c>
      <c r="L34" s="57">
        <v>0</v>
      </c>
      <c r="M34" s="57">
        <v>0</v>
      </c>
      <c r="N34" s="57">
        <v>0</v>
      </c>
      <c r="O34" s="57">
        <v>0</v>
      </c>
      <c r="P34" s="57">
        <v>0</v>
      </c>
      <c r="Q34" s="57">
        <v>0</v>
      </c>
      <c r="R34" s="57">
        <v>0</v>
      </c>
      <c r="S34" s="50">
        <v>0</v>
      </c>
    </row>
    <row r="35" spans="1:19" x14ac:dyDescent="0.25">
      <c r="A35" s="78" t="s">
        <v>96</v>
      </c>
      <c r="B35" s="77">
        <v>1</v>
      </c>
      <c r="C35" s="50">
        <v>0</v>
      </c>
      <c r="D35" s="50">
        <v>0</v>
      </c>
      <c r="E35" s="57">
        <v>0</v>
      </c>
      <c r="F35" s="57">
        <v>0</v>
      </c>
      <c r="G35" s="57">
        <v>0</v>
      </c>
      <c r="H35" s="57">
        <v>0</v>
      </c>
      <c r="I35" s="57">
        <v>0</v>
      </c>
      <c r="J35" s="57">
        <v>0</v>
      </c>
      <c r="K35" s="57">
        <v>0</v>
      </c>
      <c r="L35" s="57">
        <v>0</v>
      </c>
      <c r="M35" s="57">
        <v>0</v>
      </c>
      <c r="N35" s="57">
        <v>0</v>
      </c>
      <c r="O35" s="57">
        <v>0</v>
      </c>
      <c r="P35" s="57">
        <v>0</v>
      </c>
      <c r="Q35" s="57">
        <v>0</v>
      </c>
      <c r="R35" s="57">
        <v>0</v>
      </c>
      <c r="S35" s="50">
        <v>0</v>
      </c>
    </row>
    <row r="36" spans="1:19" x14ac:dyDescent="0.25">
      <c r="A36" s="80" t="s">
        <v>97</v>
      </c>
      <c r="B36" s="58">
        <v>1</v>
      </c>
      <c r="C36" s="50">
        <v>0</v>
      </c>
      <c r="D36" s="50">
        <v>0</v>
      </c>
      <c r="E36" s="57">
        <v>0</v>
      </c>
      <c r="F36" s="57">
        <v>0</v>
      </c>
      <c r="G36" s="57">
        <v>0</v>
      </c>
      <c r="H36" s="57">
        <v>0</v>
      </c>
      <c r="I36" s="57">
        <v>0</v>
      </c>
      <c r="J36" s="57">
        <v>0</v>
      </c>
      <c r="K36" s="57">
        <v>0</v>
      </c>
      <c r="L36" s="57">
        <v>0</v>
      </c>
      <c r="M36" s="57">
        <v>0</v>
      </c>
      <c r="N36" s="57">
        <v>0</v>
      </c>
      <c r="O36" s="57">
        <v>0</v>
      </c>
      <c r="P36" s="57">
        <v>0</v>
      </c>
      <c r="Q36" s="57">
        <v>0</v>
      </c>
      <c r="R36" s="57">
        <v>0</v>
      </c>
      <c r="S36" s="50">
        <v>0</v>
      </c>
    </row>
    <row r="37" spans="1:19" x14ac:dyDescent="0.25">
      <c r="A37" s="53" t="s">
        <v>98</v>
      </c>
      <c r="B37" s="56">
        <v>2</v>
      </c>
      <c r="C37" s="47">
        <v>0</v>
      </c>
      <c r="D37" s="47">
        <v>0</v>
      </c>
      <c r="E37" s="44">
        <v>0</v>
      </c>
      <c r="F37" s="44">
        <v>0</v>
      </c>
      <c r="G37" s="44">
        <v>0</v>
      </c>
      <c r="H37" s="44">
        <v>0</v>
      </c>
      <c r="I37" s="44">
        <v>0</v>
      </c>
      <c r="J37" s="44">
        <v>0</v>
      </c>
      <c r="K37" s="44">
        <v>0</v>
      </c>
      <c r="L37" s="44">
        <v>0</v>
      </c>
      <c r="M37" s="44">
        <v>0</v>
      </c>
      <c r="N37" s="44">
        <v>0</v>
      </c>
      <c r="O37" s="44">
        <v>0</v>
      </c>
      <c r="P37" s="44">
        <v>0</v>
      </c>
      <c r="Q37" s="44">
        <v>0</v>
      </c>
      <c r="R37" s="44">
        <v>0</v>
      </c>
      <c r="S37" s="47">
        <v>0</v>
      </c>
    </row>
    <row r="38" spans="1:19" x14ac:dyDescent="0.25">
      <c r="A38" s="81" t="s">
        <v>99</v>
      </c>
      <c r="B38" s="43">
        <v>1</v>
      </c>
      <c r="C38" s="44">
        <v>0</v>
      </c>
      <c r="D38" s="44">
        <v>0</v>
      </c>
      <c r="E38" s="44">
        <v>0</v>
      </c>
      <c r="F38" s="44">
        <v>0</v>
      </c>
      <c r="G38" s="44">
        <v>0</v>
      </c>
      <c r="H38" s="44">
        <v>0</v>
      </c>
      <c r="I38" s="44">
        <v>0</v>
      </c>
      <c r="J38" s="44">
        <v>0</v>
      </c>
      <c r="K38" s="44">
        <v>0</v>
      </c>
      <c r="L38" s="44">
        <v>0</v>
      </c>
      <c r="M38" s="44">
        <v>0</v>
      </c>
      <c r="N38" s="44">
        <v>0</v>
      </c>
      <c r="O38" s="44">
        <v>0</v>
      </c>
      <c r="P38" s="44">
        <v>0</v>
      </c>
      <c r="Q38" s="44">
        <v>0</v>
      </c>
      <c r="R38" s="44">
        <v>0</v>
      </c>
      <c r="S38" s="44">
        <v>0</v>
      </c>
    </row>
    <row r="39" spans="1:19" x14ac:dyDescent="0.25">
      <c r="B39" s="2">
        <f t="shared" ref="B39:S39" si="0">SUM(B2:B38)</f>
        <v>40</v>
      </c>
      <c r="C39" s="2">
        <f t="shared" si="0"/>
        <v>0</v>
      </c>
      <c r="D39" s="2">
        <f t="shared" si="0"/>
        <v>0</v>
      </c>
      <c r="E39" s="2">
        <f t="shared" si="0"/>
        <v>0</v>
      </c>
      <c r="F39" s="2">
        <f t="shared" si="0"/>
        <v>0</v>
      </c>
      <c r="G39" s="2">
        <f t="shared" si="0"/>
        <v>0</v>
      </c>
      <c r="H39" s="2">
        <f t="shared" si="0"/>
        <v>0</v>
      </c>
      <c r="I39" s="2">
        <f t="shared" si="0"/>
        <v>0</v>
      </c>
      <c r="J39" s="2">
        <f t="shared" si="0"/>
        <v>0</v>
      </c>
      <c r="K39" s="2">
        <f t="shared" si="0"/>
        <v>0</v>
      </c>
      <c r="L39" s="2">
        <f t="shared" si="0"/>
        <v>0</v>
      </c>
      <c r="M39" s="2">
        <f t="shared" si="0"/>
        <v>0</v>
      </c>
      <c r="N39" s="2">
        <f t="shared" si="0"/>
        <v>0</v>
      </c>
      <c r="O39" s="2">
        <f t="shared" si="0"/>
        <v>0</v>
      </c>
      <c r="P39" s="2">
        <f t="shared" si="0"/>
        <v>0</v>
      </c>
      <c r="Q39" s="2">
        <f t="shared" si="0"/>
        <v>0</v>
      </c>
      <c r="R39" s="2">
        <f t="shared" si="0"/>
        <v>0</v>
      </c>
      <c r="S39" s="2">
        <f t="shared" si="0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1D6E0-A82F-43D6-9D85-B15E122031FA}">
  <dimension ref="A1:X31"/>
  <sheetViews>
    <sheetView zoomScaleNormal="100" workbookViewId="0">
      <pane xSplit="1" topLeftCell="B1" activePane="topRight" state="frozen"/>
      <selection pane="topRight" activeCell="A30" sqref="A30"/>
    </sheetView>
  </sheetViews>
  <sheetFormatPr defaultRowHeight="15" x14ac:dyDescent="0.25"/>
  <cols>
    <col min="1" max="1" width="36.5703125" customWidth="1"/>
    <col min="2" max="19" width="9.140625" customWidth="1"/>
  </cols>
  <sheetData>
    <row r="1" spans="1:24" ht="117.75" customHeight="1" x14ac:dyDescent="0.25">
      <c r="A1" s="1"/>
      <c r="B1" s="1"/>
      <c r="C1" s="41" t="s">
        <v>44</v>
      </c>
      <c r="D1" s="41" t="s">
        <v>45</v>
      </c>
      <c r="E1" s="41" t="s">
        <v>46</v>
      </c>
      <c r="F1" s="41" t="s">
        <v>47</v>
      </c>
      <c r="G1" s="41" t="s">
        <v>48</v>
      </c>
      <c r="H1" s="41" t="s">
        <v>49</v>
      </c>
      <c r="I1" s="41" t="s">
        <v>50</v>
      </c>
      <c r="J1" s="41" t="s">
        <v>51</v>
      </c>
      <c r="K1" s="41" t="s">
        <v>52</v>
      </c>
      <c r="L1" s="41" t="s">
        <v>53</v>
      </c>
      <c r="M1" s="41" t="s">
        <v>55</v>
      </c>
      <c r="N1" s="41" t="s">
        <v>54</v>
      </c>
      <c r="O1" s="41" t="s">
        <v>56</v>
      </c>
      <c r="P1" s="41" t="s">
        <v>57</v>
      </c>
      <c r="Q1" s="41" t="s">
        <v>58</v>
      </c>
      <c r="R1" s="41" t="s">
        <v>59</v>
      </c>
      <c r="S1" s="41" t="s">
        <v>60</v>
      </c>
      <c r="U1" s="1"/>
      <c r="V1" s="1"/>
      <c r="W1" s="1"/>
      <c r="X1" s="1"/>
    </row>
    <row r="2" spans="1:24" ht="17.25" customHeight="1" x14ac:dyDescent="0.25">
      <c r="A2" s="11" t="s">
        <v>118</v>
      </c>
      <c r="B2" s="83" t="s">
        <v>103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</row>
    <row r="3" spans="1:24" x14ac:dyDescent="0.25">
      <c r="A3" s="11" t="s">
        <v>38</v>
      </c>
      <c r="B3" s="83" t="s">
        <v>103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</row>
    <row r="4" spans="1:24" x14ac:dyDescent="0.25">
      <c r="A4" s="13" t="s">
        <v>40</v>
      </c>
      <c r="B4" s="83" t="s">
        <v>103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</row>
    <row r="5" spans="1:24" x14ac:dyDescent="0.25">
      <c r="A5" s="12" t="s">
        <v>39</v>
      </c>
      <c r="B5" s="83" t="s">
        <v>103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</row>
    <row r="6" spans="1:24" x14ac:dyDescent="0.25">
      <c r="A6" s="82" t="s">
        <v>119</v>
      </c>
      <c r="B6" s="84" t="s">
        <v>104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</row>
    <row r="7" spans="1:24" x14ac:dyDescent="0.25">
      <c r="A7" s="59" t="s">
        <v>41</v>
      </c>
      <c r="B7" s="85" t="s">
        <v>104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</row>
    <row r="8" spans="1:24" x14ac:dyDescent="0.25">
      <c r="A8" s="88" t="s">
        <v>105</v>
      </c>
      <c r="B8" s="85" t="s">
        <v>104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</row>
    <row r="9" spans="1:24" x14ac:dyDescent="0.25">
      <c r="A9" s="14" t="s">
        <v>106</v>
      </c>
      <c r="B9" s="85" t="s">
        <v>104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</row>
    <row r="10" spans="1:24" x14ac:dyDescent="0.25">
      <c r="A10" s="9" t="s">
        <v>120</v>
      </c>
      <c r="B10" s="85" t="s">
        <v>103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</row>
    <row r="11" spans="1:24" x14ac:dyDescent="0.25">
      <c r="A11" s="8" t="s">
        <v>107</v>
      </c>
      <c r="B11" s="85" t="s">
        <v>104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</row>
    <row r="12" spans="1:24" x14ac:dyDescent="0.25">
      <c r="A12" s="9" t="s">
        <v>108</v>
      </c>
      <c r="B12" s="85" t="s">
        <v>104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</row>
    <row r="13" spans="1:24" ht="30" x14ac:dyDescent="0.25">
      <c r="A13" s="14" t="s">
        <v>121</v>
      </c>
      <c r="B13" s="85" t="s">
        <v>104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</row>
    <row r="14" spans="1:24" x14ac:dyDescent="0.25">
      <c r="A14" s="8" t="s">
        <v>109</v>
      </c>
      <c r="B14" s="85" t="s">
        <v>104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</row>
    <row r="15" spans="1:24" x14ac:dyDescent="0.25">
      <c r="A15" s="8" t="s">
        <v>110</v>
      </c>
      <c r="B15" s="85" t="s">
        <v>104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</row>
    <row r="16" spans="1:24" x14ac:dyDescent="0.25">
      <c r="A16" s="8" t="s">
        <v>111</v>
      </c>
      <c r="B16" s="85" t="s">
        <v>104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</row>
    <row r="17" spans="1:19" x14ac:dyDescent="0.25">
      <c r="A17" s="8" t="s">
        <v>41</v>
      </c>
      <c r="B17" s="85" t="s">
        <v>104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</row>
    <row r="18" spans="1:19" x14ac:dyDescent="0.25">
      <c r="A18" s="8" t="s">
        <v>112</v>
      </c>
      <c r="B18" s="85" t="s">
        <v>104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</row>
    <row r="19" spans="1:19" x14ac:dyDescent="0.25">
      <c r="A19" s="89" t="s">
        <v>122</v>
      </c>
      <c r="B19" s="86" t="s">
        <v>103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</row>
    <row r="20" spans="1:19" x14ac:dyDescent="0.25">
      <c r="A20" s="15" t="s">
        <v>14</v>
      </c>
      <c r="B20" s="86" t="s">
        <v>103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</row>
    <row r="21" spans="1:19" ht="30" x14ac:dyDescent="0.25">
      <c r="A21" s="17" t="s">
        <v>123</v>
      </c>
      <c r="B21" s="86" t="s">
        <v>103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</row>
    <row r="22" spans="1:19" x14ac:dyDescent="0.25">
      <c r="A22" s="16" t="s">
        <v>113</v>
      </c>
      <c r="B22" s="86" t="s">
        <v>103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</row>
    <row r="23" spans="1:19" x14ac:dyDescent="0.25">
      <c r="A23" s="17" t="s">
        <v>41</v>
      </c>
      <c r="B23" s="86" t="s">
        <v>103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</row>
    <row r="24" spans="1:19" x14ac:dyDescent="0.25">
      <c r="A24" s="17" t="s">
        <v>124</v>
      </c>
      <c r="B24" s="86" t="s">
        <v>104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</row>
    <row r="25" spans="1:19" x14ac:dyDescent="0.25">
      <c r="A25" s="17" t="s">
        <v>125</v>
      </c>
      <c r="B25" s="86" t="s">
        <v>103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</row>
    <row r="26" spans="1:19" x14ac:dyDescent="0.25">
      <c r="A26" s="17" t="s">
        <v>114</v>
      </c>
      <c r="B26" s="86" t="s">
        <v>104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</row>
    <row r="27" spans="1:19" x14ac:dyDescent="0.25">
      <c r="A27" s="17" t="s">
        <v>126</v>
      </c>
      <c r="B27" s="86" t="s">
        <v>104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</row>
    <row r="28" spans="1:19" x14ac:dyDescent="0.25">
      <c r="A28" s="17" t="s">
        <v>115</v>
      </c>
      <c r="B28" s="86" t="s">
        <v>104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</row>
    <row r="29" spans="1:19" x14ac:dyDescent="0.25">
      <c r="A29" s="17" t="s">
        <v>116</v>
      </c>
      <c r="B29" s="86" t="s">
        <v>104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</row>
    <row r="30" spans="1:19" x14ac:dyDescent="0.25">
      <c r="A30" s="17" t="s">
        <v>117</v>
      </c>
      <c r="B30" s="86" t="s">
        <v>104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</row>
    <row r="31" spans="1:19" x14ac:dyDescent="0.25">
      <c r="B31" s="87">
        <v>40</v>
      </c>
      <c r="C31" s="2">
        <f>SUM(C2:C30)</f>
        <v>0</v>
      </c>
      <c r="D31" s="2">
        <f>SUM(D2:D30)</f>
        <v>0</v>
      </c>
      <c r="E31" s="2">
        <f>SUM(E2:E30)</f>
        <v>0</v>
      </c>
      <c r="F31" s="2">
        <f t="shared" ref="F31:R31" si="0">SUM(F2:F30)</f>
        <v>0</v>
      </c>
      <c r="G31" s="2">
        <f t="shared" si="0"/>
        <v>0</v>
      </c>
      <c r="H31" s="2">
        <f t="shared" si="0"/>
        <v>0</v>
      </c>
      <c r="I31" s="2">
        <f t="shared" si="0"/>
        <v>0</v>
      </c>
      <c r="J31" s="2">
        <f t="shared" si="0"/>
        <v>0</v>
      </c>
      <c r="K31" s="2">
        <f t="shared" si="0"/>
        <v>0</v>
      </c>
      <c r="L31" s="2">
        <f t="shared" si="0"/>
        <v>0</v>
      </c>
      <c r="M31" s="2">
        <f t="shared" si="0"/>
        <v>0</v>
      </c>
      <c r="N31" s="2">
        <f t="shared" si="0"/>
        <v>0</v>
      </c>
      <c r="O31" s="2">
        <f t="shared" si="0"/>
        <v>0</v>
      </c>
      <c r="P31" s="2">
        <f t="shared" si="0"/>
        <v>0</v>
      </c>
      <c r="Q31" s="2">
        <f t="shared" si="0"/>
        <v>0</v>
      </c>
      <c r="R31" s="2">
        <f t="shared" si="0"/>
        <v>0</v>
      </c>
      <c r="S31" s="2">
        <f>SUM(S2:S30)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84"/>
  <sheetViews>
    <sheetView tabSelected="1" workbookViewId="0">
      <pane ySplit="1" topLeftCell="A2" activePane="bottomLeft" state="frozen"/>
      <selection pane="bottomLeft" activeCell="A18" sqref="A18"/>
    </sheetView>
  </sheetViews>
  <sheetFormatPr defaultColWidth="14.42578125" defaultRowHeight="15" customHeight="1" x14ac:dyDescent="0.25"/>
  <cols>
    <col min="1" max="1" width="66.7109375" customWidth="1"/>
    <col min="2" max="2" width="10.7109375" customWidth="1"/>
    <col min="3" max="3" width="7.7109375" customWidth="1"/>
    <col min="4" max="4" width="7.140625" customWidth="1"/>
    <col min="5" max="18" width="6.85546875" customWidth="1"/>
    <col min="19" max="19" width="6.5703125" customWidth="1"/>
    <col min="20" max="24" width="8.7109375" customWidth="1"/>
  </cols>
  <sheetData>
    <row r="1" spans="1:24" ht="121.5" thickBot="1" x14ac:dyDescent="0.3">
      <c r="A1" s="1"/>
      <c r="B1" s="1"/>
      <c r="C1" s="41" t="s">
        <v>44</v>
      </c>
      <c r="D1" s="41" t="s">
        <v>45</v>
      </c>
      <c r="E1" s="41" t="s">
        <v>46</v>
      </c>
      <c r="F1" s="41" t="s">
        <v>47</v>
      </c>
      <c r="G1" s="41" t="s">
        <v>48</v>
      </c>
      <c r="H1" s="41" t="s">
        <v>49</v>
      </c>
      <c r="I1" s="41" t="s">
        <v>50</v>
      </c>
      <c r="J1" s="41" t="s">
        <v>51</v>
      </c>
      <c r="K1" s="41" t="s">
        <v>52</v>
      </c>
      <c r="L1" s="41" t="s">
        <v>53</v>
      </c>
      <c r="M1" s="41" t="s">
        <v>55</v>
      </c>
      <c r="N1" s="41" t="s">
        <v>54</v>
      </c>
      <c r="O1" s="41" t="s">
        <v>56</v>
      </c>
      <c r="P1" s="41" t="s">
        <v>57</v>
      </c>
      <c r="Q1" s="41" t="s">
        <v>58</v>
      </c>
      <c r="R1" s="41" t="s">
        <v>59</v>
      </c>
      <c r="S1" s="41" t="s">
        <v>60</v>
      </c>
      <c r="U1" s="1"/>
      <c r="V1" s="1"/>
      <c r="W1" s="1"/>
      <c r="X1" s="1"/>
    </row>
    <row r="2" spans="1:24" ht="15.75" thickBot="1" x14ac:dyDescent="0.3">
      <c r="A2" s="4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4" ht="45" x14ac:dyDescent="0.25">
      <c r="A3" s="90" t="s">
        <v>127</v>
      </c>
      <c r="B3" s="61">
        <v>1</v>
      </c>
      <c r="C3" s="62">
        <v>0</v>
      </c>
      <c r="D3" s="62">
        <v>0</v>
      </c>
      <c r="E3" s="62">
        <v>0</v>
      </c>
      <c r="F3" s="62">
        <v>0</v>
      </c>
      <c r="G3" s="62">
        <v>0</v>
      </c>
      <c r="H3" s="62">
        <v>0</v>
      </c>
      <c r="I3" s="62">
        <v>0</v>
      </c>
      <c r="J3" s="62">
        <v>0</v>
      </c>
      <c r="K3" s="62">
        <v>0</v>
      </c>
      <c r="L3" s="62">
        <v>0</v>
      </c>
      <c r="M3" s="62">
        <v>0</v>
      </c>
      <c r="N3" s="62">
        <v>0</v>
      </c>
      <c r="O3" s="62">
        <v>0</v>
      </c>
      <c r="P3" s="62">
        <v>0</v>
      </c>
      <c r="Q3" s="62">
        <v>0</v>
      </c>
      <c r="R3" s="62">
        <v>0</v>
      </c>
      <c r="S3" s="62">
        <v>0</v>
      </c>
    </row>
    <row r="4" spans="1:24" ht="60" x14ac:dyDescent="0.25">
      <c r="A4" s="60" t="s">
        <v>1</v>
      </c>
      <c r="B4" s="61">
        <v>1</v>
      </c>
      <c r="C4" s="62">
        <v>0</v>
      </c>
      <c r="D4" s="62">
        <v>0</v>
      </c>
      <c r="E4" s="62">
        <v>0</v>
      </c>
      <c r="F4" s="62">
        <v>0</v>
      </c>
      <c r="G4" s="62">
        <v>0</v>
      </c>
      <c r="H4" s="62">
        <v>0</v>
      </c>
      <c r="I4" s="62">
        <v>0</v>
      </c>
      <c r="J4" s="62">
        <v>0</v>
      </c>
      <c r="K4" s="62">
        <v>0</v>
      </c>
      <c r="L4" s="62">
        <v>0</v>
      </c>
      <c r="M4" s="62">
        <v>0</v>
      </c>
      <c r="N4" s="62">
        <v>0</v>
      </c>
      <c r="O4" s="62">
        <v>0</v>
      </c>
      <c r="P4" s="62">
        <v>0</v>
      </c>
      <c r="Q4" s="62">
        <v>0</v>
      </c>
      <c r="R4" s="62">
        <v>0</v>
      </c>
      <c r="S4" s="62">
        <v>0</v>
      </c>
    </row>
    <row r="5" spans="1:24" ht="30" x14ac:dyDescent="0.25">
      <c r="A5" s="60" t="s">
        <v>2</v>
      </c>
      <c r="B5" s="61">
        <v>1</v>
      </c>
      <c r="C5" s="62">
        <v>0</v>
      </c>
      <c r="D5" s="62">
        <v>0</v>
      </c>
      <c r="E5" s="62">
        <v>0</v>
      </c>
      <c r="F5" s="62">
        <v>0</v>
      </c>
      <c r="G5" s="62">
        <v>0</v>
      </c>
      <c r="H5" s="62">
        <v>0</v>
      </c>
      <c r="I5" s="62">
        <v>0</v>
      </c>
      <c r="J5" s="62">
        <v>0</v>
      </c>
      <c r="K5" s="62">
        <v>0</v>
      </c>
      <c r="L5" s="62">
        <v>0</v>
      </c>
      <c r="M5" s="62">
        <v>0</v>
      </c>
      <c r="N5" s="62">
        <v>0</v>
      </c>
      <c r="O5" s="62">
        <v>0</v>
      </c>
      <c r="P5" s="62">
        <v>0</v>
      </c>
      <c r="Q5" s="62">
        <v>0</v>
      </c>
      <c r="R5" s="62">
        <v>0</v>
      </c>
      <c r="S5" s="62">
        <v>0</v>
      </c>
    </row>
    <row r="6" spans="1:24" ht="30" x14ac:dyDescent="0.25">
      <c r="A6" s="60" t="s">
        <v>3</v>
      </c>
      <c r="B6" s="61">
        <v>1</v>
      </c>
      <c r="C6" s="62">
        <v>0</v>
      </c>
      <c r="D6" s="62">
        <v>0</v>
      </c>
      <c r="E6" s="62">
        <v>0</v>
      </c>
      <c r="F6" s="62">
        <v>0</v>
      </c>
      <c r="G6" s="62">
        <v>0</v>
      </c>
      <c r="H6" s="62">
        <v>0</v>
      </c>
      <c r="I6" s="62">
        <v>0</v>
      </c>
      <c r="J6" s="62">
        <v>0</v>
      </c>
      <c r="K6" s="62">
        <v>0</v>
      </c>
      <c r="L6" s="62">
        <v>0</v>
      </c>
      <c r="M6" s="62">
        <v>0</v>
      </c>
      <c r="N6" s="62">
        <v>0</v>
      </c>
      <c r="O6" s="62">
        <v>0</v>
      </c>
      <c r="P6" s="62">
        <v>0</v>
      </c>
      <c r="Q6" s="62">
        <v>0</v>
      </c>
      <c r="R6" s="62">
        <v>0</v>
      </c>
      <c r="S6" s="62">
        <v>0</v>
      </c>
    </row>
    <row r="7" spans="1:24" ht="15.75" thickBot="1" x14ac:dyDescent="0.3">
      <c r="A7" s="60" t="s">
        <v>4</v>
      </c>
      <c r="B7" s="61">
        <v>1</v>
      </c>
      <c r="C7" s="62">
        <v>0</v>
      </c>
      <c r="D7" s="62">
        <v>0</v>
      </c>
      <c r="E7" s="62">
        <v>0</v>
      </c>
      <c r="F7" s="62">
        <v>0</v>
      </c>
      <c r="G7" s="62">
        <v>0</v>
      </c>
      <c r="H7" s="62">
        <v>0</v>
      </c>
      <c r="I7" s="62">
        <v>0</v>
      </c>
      <c r="J7" s="62">
        <v>0</v>
      </c>
      <c r="K7" s="62">
        <v>0</v>
      </c>
      <c r="L7" s="62">
        <v>0</v>
      </c>
      <c r="M7" s="62">
        <v>0</v>
      </c>
      <c r="N7" s="62">
        <v>0</v>
      </c>
      <c r="O7" s="62">
        <v>0</v>
      </c>
      <c r="P7" s="62">
        <v>0</v>
      </c>
      <c r="Q7" s="62">
        <v>0</v>
      </c>
      <c r="R7" s="62">
        <v>0</v>
      </c>
      <c r="S7" s="62">
        <v>0</v>
      </c>
    </row>
    <row r="8" spans="1:24" ht="15.75" thickBot="1" x14ac:dyDescent="0.3">
      <c r="A8" s="4" t="s">
        <v>5</v>
      </c>
      <c r="B8" s="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24" ht="30" x14ac:dyDescent="0.25">
      <c r="A9" s="91" t="s">
        <v>128</v>
      </c>
      <c r="B9" s="68">
        <v>3</v>
      </c>
      <c r="C9" s="69">
        <v>0</v>
      </c>
      <c r="D9" s="69">
        <v>0</v>
      </c>
      <c r="E9" s="69">
        <v>0</v>
      </c>
      <c r="F9" s="69">
        <v>0</v>
      </c>
      <c r="G9" s="69">
        <v>0</v>
      </c>
      <c r="H9" s="69">
        <v>0</v>
      </c>
      <c r="I9" s="69">
        <v>0</v>
      </c>
      <c r="J9" s="69">
        <v>0</v>
      </c>
      <c r="K9" s="69">
        <v>0</v>
      </c>
      <c r="L9" s="69">
        <v>0</v>
      </c>
      <c r="M9" s="69">
        <v>0</v>
      </c>
      <c r="N9" s="69">
        <v>0</v>
      </c>
      <c r="O9" s="69">
        <v>0</v>
      </c>
      <c r="P9" s="69">
        <v>0</v>
      </c>
      <c r="Q9" s="69">
        <v>0</v>
      </c>
      <c r="R9" s="69">
        <v>0</v>
      </c>
      <c r="S9" s="69">
        <v>0</v>
      </c>
    </row>
    <row r="10" spans="1:24" ht="30" x14ac:dyDescent="0.25">
      <c r="A10" s="91" t="s">
        <v>133</v>
      </c>
      <c r="B10" s="68">
        <v>2</v>
      </c>
      <c r="C10" s="69">
        <v>0</v>
      </c>
      <c r="D10" s="69">
        <v>0</v>
      </c>
      <c r="E10" s="69">
        <v>0</v>
      </c>
      <c r="F10" s="69">
        <v>0</v>
      </c>
      <c r="G10" s="69">
        <v>0</v>
      </c>
      <c r="H10" s="69">
        <v>0</v>
      </c>
      <c r="I10" s="69">
        <v>0</v>
      </c>
      <c r="J10" s="69">
        <v>0</v>
      </c>
      <c r="K10" s="69">
        <v>0</v>
      </c>
      <c r="L10" s="69">
        <v>0</v>
      </c>
      <c r="M10" s="69">
        <v>0</v>
      </c>
      <c r="N10" s="69">
        <v>0</v>
      </c>
      <c r="O10" s="69">
        <v>0</v>
      </c>
      <c r="P10" s="69">
        <v>0</v>
      </c>
      <c r="Q10" s="69">
        <v>0</v>
      </c>
      <c r="R10" s="69">
        <v>0</v>
      </c>
      <c r="S10" s="69">
        <v>0</v>
      </c>
    </row>
    <row r="11" spans="1:24" ht="30" x14ac:dyDescent="0.25">
      <c r="A11" s="91" t="s">
        <v>134</v>
      </c>
      <c r="B11" s="68">
        <v>2</v>
      </c>
      <c r="C11" s="69">
        <v>0</v>
      </c>
      <c r="D11" s="69">
        <v>0</v>
      </c>
      <c r="E11" s="69">
        <v>0</v>
      </c>
      <c r="F11" s="69">
        <v>0</v>
      </c>
      <c r="G11" s="69">
        <v>0</v>
      </c>
      <c r="H11" s="69">
        <v>0</v>
      </c>
      <c r="I11" s="69">
        <v>0</v>
      </c>
      <c r="J11" s="69">
        <v>0</v>
      </c>
      <c r="K11" s="69">
        <v>0</v>
      </c>
      <c r="L11" s="69">
        <v>0</v>
      </c>
      <c r="M11" s="69">
        <v>0</v>
      </c>
      <c r="N11" s="69">
        <v>0</v>
      </c>
      <c r="O11" s="69">
        <v>0</v>
      </c>
      <c r="P11" s="69">
        <v>0</v>
      </c>
      <c r="Q11" s="69">
        <v>0</v>
      </c>
      <c r="R11" s="69">
        <v>0</v>
      </c>
      <c r="S11" s="69">
        <v>0</v>
      </c>
    </row>
    <row r="12" spans="1:24" ht="30" x14ac:dyDescent="0.25">
      <c r="A12" s="91" t="s">
        <v>129</v>
      </c>
      <c r="B12" s="68">
        <v>1</v>
      </c>
      <c r="C12" s="69">
        <v>0</v>
      </c>
      <c r="D12" s="69">
        <v>0</v>
      </c>
      <c r="E12" s="69">
        <v>0</v>
      </c>
      <c r="F12" s="69">
        <v>0</v>
      </c>
      <c r="G12" s="69">
        <v>0</v>
      </c>
      <c r="H12" s="69">
        <v>0</v>
      </c>
      <c r="I12" s="69">
        <v>0</v>
      </c>
      <c r="J12" s="69">
        <v>0</v>
      </c>
      <c r="K12" s="69">
        <v>0</v>
      </c>
      <c r="L12" s="69">
        <v>0</v>
      </c>
      <c r="M12" s="69">
        <v>0</v>
      </c>
      <c r="N12" s="69">
        <v>0</v>
      </c>
      <c r="O12" s="69">
        <v>0</v>
      </c>
      <c r="P12" s="69">
        <v>0</v>
      </c>
      <c r="Q12" s="69">
        <v>0</v>
      </c>
      <c r="R12" s="69">
        <v>0</v>
      </c>
      <c r="S12" s="69">
        <v>0</v>
      </c>
    </row>
    <row r="13" spans="1:24" ht="30" x14ac:dyDescent="0.25">
      <c r="A13" s="91" t="s">
        <v>130</v>
      </c>
      <c r="B13" s="68">
        <v>1</v>
      </c>
      <c r="C13" s="69">
        <v>0</v>
      </c>
      <c r="D13" s="69">
        <v>0</v>
      </c>
      <c r="E13" s="69">
        <v>0</v>
      </c>
      <c r="F13" s="69">
        <v>0</v>
      </c>
      <c r="G13" s="69">
        <v>0</v>
      </c>
      <c r="H13" s="69">
        <v>0</v>
      </c>
      <c r="I13" s="69">
        <v>0</v>
      </c>
      <c r="J13" s="69">
        <v>0</v>
      </c>
      <c r="K13" s="69">
        <v>0</v>
      </c>
      <c r="L13" s="69">
        <v>0</v>
      </c>
      <c r="M13" s="69">
        <v>0</v>
      </c>
      <c r="N13" s="69">
        <v>0</v>
      </c>
      <c r="O13" s="69">
        <v>0</v>
      </c>
      <c r="P13" s="69">
        <v>0</v>
      </c>
      <c r="Q13" s="69">
        <v>0</v>
      </c>
      <c r="R13" s="69">
        <v>0</v>
      </c>
      <c r="S13" s="69">
        <v>0</v>
      </c>
    </row>
    <row r="14" spans="1:24" ht="30" x14ac:dyDescent="0.25">
      <c r="A14" s="91" t="s">
        <v>131</v>
      </c>
      <c r="B14" s="68">
        <v>4</v>
      </c>
      <c r="C14" s="69">
        <v>0</v>
      </c>
      <c r="D14" s="69">
        <v>0</v>
      </c>
      <c r="E14" s="69">
        <v>0</v>
      </c>
      <c r="F14" s="69">
        <v>0</v>
      </c>
      <c r="G14" s="69">
        <v>0</v>
      </c>
      <c r="H14" s="69">
        <v>0</v>
      </c>
      <c r="I14" s="69">
        <v>0</v>
      </c>
      <c r="J14" s="69">
        <v>0</v>
      </c>
      <c r="K14" s="69">
        <v>0</v>
      </c>
      <c r="L14" s="69">
        <v>0</v>
      </c>
      <c r="M14" s="69">
        <v>0</v>
      </c>
      <c r="N14" s="69">
        <v>0</v>
      </c>
      <c r="O14" s="69">
        <v>0</v>
      </c>
      <c r="P14" s="69">
        <v>0</v>
      </c>
      <c r="Q14" s="69">
        <v>0</v>
      </c>
      <c r="R14" s="69">
        <v>0</v>
      </c>
      <c r="S14" s="69">
        <v>0</v>
      </c>
    </row>
    <row r="15" spans="1:24" x14ac:dyDescent="0.25">
      <c r="A15" s="91" t="s">
        <v>132</v>
      </c>
      <c r="B15" s="68">
        <v>1</v>
      </c>
      <c r="C15" s="69">
        <v>0</v>
      </c>
      <c r="D15" s="69">
        <v>0</v>
      </c>
      <c r="E15" s="69">
        <v>0</v>
      </c>
      <c r="F15" s="69">
        <v>0</v>
      </c>
      <c r="G15" s="69">
        <v>0</v>
      </c>
      <c r="H15" s="69">
        <v>0</v>
      </c>
      <c r="I15" s="69">
        <v>0</v>
      </c>
      <c r="J15" s="69">
        <v>0</v>
      </c>
      <c r="K15" s="69">
        <v>0</v>
      </c>
      <c r="L15" s="69">
        <v>0</v>
      </c>
      <c r="M15" s="69">
        <v>0</v>
      </c>
      <c r="N15" s="69">
        <v>0</v>
      </c>
      <c r="O15" s="69">
        <v>0</v>
      </c>
      <c r="P15" s="69">
        <v>0</v>
      </c>
      <c r="Q15" s="69">
        <v>0</v>
      </c>
      <c r="R15" s="69">
        <v>0</v>
      </c>
      <c r="S15" s="69">
        <v>0</v>
      </c>
    </row>
    <row r="16" spans="1:24" ht="30" x14ac:dyDescent="0.25">
      <c r="A16" s="91" t="s">
        <v>147</v>
      </c>
      <c r="B16" s="68">
        <v>1</v>
      </c>
      <c r="C16" s="69">
        <v>0</v>
      </c>
      <c r="D16" s="69">
        <v>0</v>
      </c>
      <c r="E16" s="69">
        <v>0</v>
      </c>
      <c r="F16" s="69">
        <v>0</v>
      </c>
      <c r="G16" s="69">
        <v>0</v>
      </c>
      <c r="H16" s="69">
        <v>0</v>
      </c>
      <c r="I16" s="69">
        <v>0</v>
      </c>
      <c r="J16" s="69">
        <v>0</v>
      </c>
      <c r="K16" s="69">
        <v>0</v>
      </c>
      <c r="L16" s="69">
        <v>0</v>
      </c>
      <c r="M16" s="69">
        <v>0</v>
      </c>
      <c r="N16" s="69">
        <v>0</v>
      </c>
      <c r="O16" s="69">
        <v>0</v>
      </c>
      <c r="P16" s="69">
        <v>0</v>
      </c>
      <c r="Q16" s="69">
        <v>0</v>
      </c>
      <c r="R16" s="69">
        <v>0</v>
      </c>
      <c r="S16" s="69">
        <v>0</v>
      </c>
    </row>
    <row r="17" spans="1:19" ht="45" x14ac:dyDescent="0.25">
      <c r="A17" s="91" t="s">
        <v>148</v>
      </c>
      <c r="B17" s="68">
        <v>4</v>
      </c>
      <c r="C17" s="69">
        <v>0</v>
      </c>
      <c r="D17" s="69">
        <v>0</v>
      </c>
      <c r="E17" s="69">
        <v>0</v>
      </c>
      <c r="F17" s="69">
        <v>0</v>
      </c>
      <c r="G17" s="69">
        <v>0</v>
      </c>
      <c r="H17" s="69">
        <v>0</v>
      </c>
      <c r="I17" s="69">
        <v>0</v>
      </c>
      <c r="J17" s="69">
        <v>0</v>
      </c>
      <c r="K17" s="69">
        <v>0</v>
      </c>
      <c r="L17" s="69">
        <v>0</v>
      </c>
      <c r="M17" s="69">
        <v>0</v>
      </c>
      <c r="N17" s="69">
        <v>0</v>
      </c>
      <c r="O17" s="69">
        <v>0</v>
      </c>
      <c r="P17" s="69">
        <v>0</v>
      </c>
      <c r="Q17" s="69">
        <v>0</v>
      </c>
      <c r="R17" s="69">
        <v>0</v>
      </c>
      <c r="S17" s="69">
        <v>0</v>
      </c>
    </row>
    <row r="18" spans="1:19" ht="30.75" thickBot="1" x14ac:dyDescent="0.3">
      <c r="A18" s="63" t="s">
        <v>42</v>
      </c>
      <c r="B18" s="68">
        <v>1</v>
      </c>
      <c r="C18" s="69">
        <v>0</v>
      </c>
      <c r="D18" s="69">
        <v>0</v>
      </c>
      <c r="E18" s="69">
        <v>0</v>
      </c>
      <c r="F18" s="69">
        <v>0</v>
      </c>
      <c r="G18" s="69">
        <v>0</v>
      </c>
      <c r="H18" s="69">
        <v>0</v>
      </c>
      <c r="I18" s="69">
        <v>0</v>
      </c>
      <c r="J18" s="69">
        <v>0</v>
      </c>
      <c r="K18" s="69">
        <v>0</v>
      </c>
      <c r="L18" s="69">
        <v>0</v>
      </c>
      <c r="M18" s="69">
        <v>0</v>
      </c>
      <c r="N18" s="69">
        <v>0</v>
      </c>
      <c r="O18" s="69">
        <v>0</v>
      </c>
      <c r="P18" s="69">
        <v>0</v>
      </c>
      <c r="Q18" s="69">
        <v>0</v>
      </c>
      <c r="R18" s="69">
        <v>0</v>
      </c>
      <c r="S18" s="69">
        <v>0</v>
      </c>
    </row>
    <row r="19" spans="1:19" ht="15.75" thickBot="1" x14ac:dyDescent="0.3">
      <c r="A19" s="4" t="s">
        <v>6</v>
      </c>
      <c r="B19" s="5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30" x14ac:dyDescent="0.25">
      <c r="A20" s="64" t="s">
        <v>43</v>
      </c>
      <c r="B20" s="70">
        <v>1</v>
      </c>
      <c r="C20" s="71">
        <v>0</v>
      </c>
      <c r="D20" s="71">
        <v>0</v>
      </c>
      <c r="E20" s="71">
        <v>0</v>
      </c>
      <c r="F20" s="71">
        <v>0</v>
      </c>
      <c r="G20" s="71">
        <v>0</v>
      </c>
      <c r="H20" s="71">
        <v>0</v>
      </c>
      <c r="I20" s="71">
        <v>0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</row>
    <row r="21" spans="1:19" ht="32.25" customHeight="1" x14ac:dyDescent="0.25">
      <c r="A21" s="92" t="s">
        <v>135</v>
      </c>
      <c r="B21" s="70">
        <v>1</v>
      </c>
      <c r="C21" s="71">
        <v>0</v>
      </c>
      <c r="D21" s="71">
        <v>0</v>
      </c>
      <c r="E21" s="71">
        <v>0</v>
      </c>
      <c r="F21" s="71">
        <v>0</v>
      </c>
      <c r="G21" s="71">
        <v>0</v>
      </c>
      <c r="H21" s="71">
        <v>0</v>
      </c>
      <c r="I21" s="71">
        <v>0</v>
      </c>
      <c r="J21" s="71">
        <v>0</v>
      </c>
      <c r="K21" s="71">
        <v>0</v>
      </c>
      <c r="L21" s="71">
        <v>0</v>
      </c>
      <c r="M21" s="71">
        <v>0</v>
      </c>
      <c r="N21" s="71">
        <v>0</v>
      </c>
      <c r="O21" s="71">
        <v>0</v>
      </c>
      <c r="P21" s="71">
        <v>0</v>
      </c>
      <c r="Q21" s="71">
        <v>0</v>
      </c>
      <c r="R21" s="71">
        <v>0</v>
      </c>
      <c r="S21" s="71">
        <v>0</v>
      </c>
    </row>
    <row r="22" spans="1:19" ht="31.5" customHeight="1" x14ac:dyDescent="0.25">
      <c r="A22" s="93" t="s">
        <v>136</v>
      </c>
      <c r="B22" s="70">
        <v>1</v>
      </c>
      <c r="C22" s="71">
        <v>0</v>
      </c>
      <c r="D22" s="71">
        <v>0</v>
      </c>
      <c r="E22" s="71">
        <v>0</v>
      </c>
      <c r="F22" s="71">
        <v>0</v>
      </c>
      <c r="G22" s="71">
        <v>0</v>
      </c>
      <c r="H22" s="71">
        <v>0</v>
      </c>
      <c r="I22" s="71">
        <v>0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</row>
    <row r="23" spans="1:19" ht="27" customHeight="1" x14ac:dyDescent="0.25">
      <c r="A23" s="93" t="s">
        <v>137</v>
      </c>
      <c r="B23" s="70">
        <v>1</v>
      </c>
      <c r="C23" s="71">
        <v>0</v>
      </c>
      <c r="D23" s="71">
        <v>0</v>
      </c>
      <c r="E23" s="71">
        <v>0</v>
      </c>
      <c r="F23" s="71">
        <v>0</v>
      </c>
      <c r="G23" s="71">
        <v>0</v>
      </c>
      <c r="H23" s="71">
        <v>0</v>
      </c>
      <c r="I23" s="71">
        <v>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</row>
    <row r="24" spans="1:19" ht="27" customHeight="1" x14ac:dyDescent="0.25">
      <c r="A24" s="93" t="s">
        <v>138</v>
      </c>
      <c r="B24" s="70">
        <v>1</v>
      </c>
      <c r="C24" s="71">
        <v>0</v>
      </c>
      <c r="D24" s="71">
        <v>0</v>
      </c>
      <c r="E24" s="71">
        <v>0</v>
      </c>
      <c r="F24" s="71">
        <v>0</v>
      </c>
      <c r="G24" s="71">
        <v>0</v>
      </c>
      <c r="H24" s="71">
        <v>0</v>
      </c>
      <c r="I24" s="71">
        <v>0</v>
      </c>
      <c r="J24" s="71">
        <v>0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71">
        <v>0</v>
      </c>
    </row>
    <row r="25" spans="1:19" ht="27" customHeight="1" x14ac:dyDescent="0.25">
      <c r="A25" s="93" t="s">
        <v>139</v>
      </c>
      <c r="B25" s="70">
        <v>1</v>
      </c>
      <c r="C25" s="71">
        <v>0</v>
      </c>
      <c r="D25" s="71">
        <v>0</v>
      </c>
      <c r="E25" s="71">
        <v>0</v>
      </c>
      <c r="F25" s="71">
        <v>0</v>
      </c>
      <c r="G25" s="71">
        <v>0</v>
      </c>
      <c r="H25" s="71">
        <v>0</v>
      </c>
      <c r="I25" s="71">
        <v>0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</row>
    <row r="26" spans="1:19" ht="15.75" customHeight="1" thickBot="1" x14ac:dyDescent="0.3">
      <c r="A26" s="6" t="s">
        <v>140</v>
      </c>
      <c r="B26" s="5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31.5" customHeight="1" x14ac:dyDescent="0.25">
      <c r="A27" s="94" t="s">
        <v>141</v>
      </c>
      <c r="B27" s="72">
        <v>2</v>
      </c>
      <c r="C27" s="73">
        <v>0</v>
      </c>
      <c r="D27" s="73">
        <v>0</v>
      </c>
      <c r="E27" s="73">
        <v>0</v>
      </c>
      <c r="F27" s="73">
        <v>0</v>
      </c>
      <c r="G27" s="73">
        <v>0</v>
      </c>
      <c r="H27" s="73">
        <v>0</v>
      </c>
      <c r="I27" s="73">
        <v>0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</row>
    <row r="28" spans="1:19" ht="32.25" customHeight="1" x14ac:dyDescent="0.25">
      <c r="A28" s="94" t="s">
        <v>146</v>
      </c>
      <c r="B28" s="72">
        <v>2</v>
      </c>
      <c r="C28" s="73">
        <v>0</v>
      </c>
      <c r="D28" s="73">
        <v>0</v>
      </c>
      <c r="E28" s="73">
        <v>0</v>
      </c>
      <c r="F28" s="73">
        <v>0</v>
      </c>
      <c r="G28" s="73">
        <v>0</v>
      </c>
      <c r="H28" s="73">
        <v>0</v>
      </c>
      <c r="I28" s="73">
        <v>0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</row>
    <row r="29" spans="1:19" ht="39" customHeight="1" x14ac:dyDescent="0.25">
      <c r="A29" s="94" t="s">
        <v>145</v>
      </c>
      <c r="B29" s="72">
        <v>1</v>
      </c>
      <c r="C29" s="73">
        <v>0</v>
      </c>
      <c r="D29" s="73">
        <v>0</v>
      </c>
      <c r="E29" s="73">
        <v>0</v>
      </c>
      <c r="F29" s="73">
        <v>0</v>
      </c>
      <c r="G29" s="73">
        <v>0</v>
      </c>
      <c r="H29" s="73">
        <v>0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</row>
    <row r="30" spans="1:19" ht="15.75" customHeight="1" x14ac:dyDescent="0.25">
      <c r="A30" s="94" t="s">
        <v>142</v>
      </c>
      <c r="B30" s="72">
        <v>1</v>
      </c>
      <c r="C30" s="73">
        <v>0</v>
      </c>
      <c r="D30" s="73">
        <v>0</v>
      </c>
      <c r="E30" s="73">
        <v>0</v>
      </c>
      <c r="F30" s="73">
        <v>0</v>
      </c>
      <c r="G30" s="73">
        <v>0</v>
      </c>
      <c r="H30" s="73">
        <v>0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</row>
    <row r="31" spans="1:19" ht="26.25" customHeight="1" x14ac:dyDescent="0.25">
      <c r="A31" s="94" t="s">
        <v>144</v>
      </c>
      <c r="B31" s="72">
        <v>1</v>
      </c>
      <c r="C31" s="73">
        <v>0</v>
      </c>
      <c r="D31" s="73">
        <v>0</v>
      </c>
      <c r="E31" s="73">
        <v>0</v>
      </c>
      <c r="F31" s="73">
        <v>0</v>
      </c>
      <c r="G31" s="73">
        <v>0</v>
      </c>
      <c r="H31" s="73">
        <v>0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</row>
    <row r="32" spans="1:19" ht="31.5" customHeight="1" x14ac:dyDescent="0.25">
      <c r="A32" s="65" t="s">
        <v>11</v>
      </c>
      <c r="B32" s="72">
        <v>1</v>
      </c>
      <c r="C32" s="73">
        <v>0</v>
      </c>
      <c r="D32" s="73">
        <v>0</v>
      </c>
      <c r="E32" s="73">
        <v>0</v>
      </c>
      <c r="F32" s="73">
        <v>0</v>
      </c>
      <c r="G32" s="73">
        <v>0</v>
      </c>
      <c r="H32" s="73">
        <v>0</v>
      </c>
      <c r="I32" s="73">
        <v>0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</row>
    <row r="33" spans="1:19" ht="15.75" customHeight="1" x14ac:dyDescent="0.25">
      <c r="A33" s="76" t="s">
        <v>12</v>
      </c>
      <c r="B33" s="5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33" customHeight="1" x14ac:dyDescent="0.25">
      <c r="A34" s="95" t="s">
        <v>143</v>
      </c>
      <c r="B34" s="66">
        <v>1</v>
      </c>
      <c r="C34" s="67">
        <v>0</v>
      </c>
      <c r="D34" s="67">
        <v>0</v>
      </c>
      <c r="E34" s="67">
        <v>0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7">
        <v>0</v>
      </c>
      <c r="O34" s="67">
        <v>0</v>
      </c>
      <c r="P34" s="67">
        <v>0</v>
      </c>
      <c r="Q34" s="67">
        <v>0</v>
      </c>
      <c r="R34" s="67">
        <v>0</v>
      </c>
      <c r="S34" s="67">
        <v>0</v>
      </c>
    </row>
    <row r="35" spans="1:19" ht="15.75" customHeight="1" x14ac:dyDescent="0.25">
      <c r="A35" s="74"/>
      <c r="B35" s="75">
        <f>SUM(B3:B34)</f>
        <v>40</v>
      </c>
      <c r="C35" s="75">
        <f t="shared" ref="C35:S35" si="0">SUM(C3:C34)</f>
        <v>0</v>
      </c>
      <c r="D35" s="75">
        <f t="shared" si="0"/>
        <v>0</v>
      </c>
      <c r="E35" s="75">
        <f t="shared" si="0"/>
        <v>0</v>
      </c>
      <c r="F35" s="75">
        <f t="shared" si="0"/>
        <v>0</v>
      </c>
      <c r="G35" s="75">
        <f t="shared" si="0"/>
        <v>0</v>
      </c>
      <c r="H35" s="75">
        <f t="shared" si="0"/>
        <v>0</v>
      </c>
      <c r="I35" s="75">
        <f t="shared" si="0"/>
        <v>0</v>
      </c>
      <c r="J35" s="75">
        <f t="shared" si="0"/>
        <v>0</v>
      </c>
      <c r="K35" s="75">
        <f t="shared" si="0"/>
        <v>0</v>
      </c>
      <c r="L35" s="75">
        <f t="shared" si="0"/>
        <v>0</v>
      </c>
      <c r="M35" s="75">
        <f t="shared" si="0"/>
        <v>0</v>
      </c>
      <c r="N35" s="75">
        <f t="shared" si="0"/>
        <v>0</v>
      </c>
      <c r="O35" s="75">
        <f t="shared" si="0"/>
        <v>0</v>
      </c>
      <c r="P35" s="75">
        <f t="shared" si="0"/>
        <v>0</v>
      </c>
      <c r="Q35" s="75">
        <f t="shared" si="0"/>
        <v>0</v>
      </c>
      <c r="R35" s="75">
        <f t="shared" si="0"/>
        <v>0</v>
      </c>
      <c r="S35" s="75">
        <f t="shared" si="0"/>
        <v>0</v>
      </c>
    </row>
    <row r="36" spans="1:19" ht="15.75" customHeight="1" x14ac:dyDescent="0.25"/>
    <row r="37" spans="1:19" ht="15.75" customHeight="1" x14ac:dyDescent="0.25"/>
    <row r="38" spans="1:19" ht="15.75" customHeight="1" x14ac:dyDescent="0.25"/>
    <row r="39" spans="1:19" ht="15.75" customHeight="1" x14ac:dyDescent="0.25"/>
    <row r="40" spans="1:19" ht="15.75" customHeight="1" x14ac:dyDescent="0.25"/>
    <row r="41" spans="1:19" ht="15.75" customHeight="1" x14ac:dyDescent="0.25"/>
    <row r="42" spans="1:19" ht="15.75" customHeight="1" x14ac:dyDescent="0.25"/>
    <row r="43" spans="1:19" ht="15.75" customHeight="1" x14ac:dyDescent="0.25"/>
    <row r="44" spans="1:19" ht="15.75" customHeight="1" x14ac:dyDescent="0.25"/>
    <row r="45" spans="1:19" ht="15.75" customHeight="1" x14ac:dyDescent="0.25"/>
    <row r="46" spans="1:19" ht="15.75" customHeight="1" x14ac:dyDescent="0.25"/>
    <row r="47" spans="1:19" ht="15.75" customHeight="1" x14ac:dyDescent="0.25"/>
    <row r="48" spans="1:1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57977-8E82-443D-B949-8C9E22543A50}">
  <dimension ref="A1:Y999"/>
  <sheetViews>
    <sheetView workbookViewId="0"/>
  </sheetViews>
  <sheetFormatPr defaultColWidth="14.42578125" defaultRowHeight="15" customHeight="1" x14ac:dyDescent="0.25"/>
  <cols>
    <col min="1" max="1" width="4.85546875" customWidth="1"/>
    <col min="2" max="2" width="33.7109375" bestFit="1" customWidth="1"/>
    <col min="3" max="3" width="13.140625" customWidth="1"/>
    <col min="4" max="4" width="11.28515625" customWidth="1"/>
    <col min="5" max="5" width="15.7109375" customWidth="1"/>
    <col min="6" max="6" width="19.42578125" customWidth="1"/>
    <col min="7" max="7" width="9.140625" customWidth="1"/>
    <col min="8" max="8" width="9.5703125" customWidth="1"/>
    <col min="9" max="9" width="10.7109375" customWidth="1"/>
    <col min="10" max="10" width="10.5703125" customWidth="1"/>
    <col min="11" max="11" width="11.28515625" customWidth="1"/>
    <col min="12" max="12" width="13.5703125" customWidth="1"/>
    <col min="13" max="22" width="8.7109375" customWidth="1"/>
  </cols>
  <sheetData>
    <row r="1" spans="1:25" ht="56.25" x14ac:dyDescent="0.3">
      <c r="A1" s="20"/>
      <c r="B1" s="21" t="s">
        <v>15</v>
      </c>
      <c r="C1" s="21" t="s">
        <v>16</v>
      </c>
      <c r="D1" s="21" t="s">
        <v>17</v>
      </c>
      <c r="E1" s="22" t="s">
        <v>18</v>
      </c>
      <c r="F1" s="23" t="s">
        <v>19</v>
      </c>
      <c r="G1" s="24" t="s">
        <v>20</v>
      </c>
      <c r="H1" s="24" t="s">
        <v>21</v>
      </c>
      <c r="I1" s="24" t="s">
        <v>22</v>
      </c>
      <c r="J1" s="25" t="s">
        <v>23</v>
      </c>
      <c r="K1" s="22" t="s">
        <v>24</v>
      </c>
      <c r="L1" s="22" t="s">
        <v>25</v>
      </c>
      <c r="M1" s="26"/>
      <c r="N1" s="26"/>
      <c r="O1" s="26"/>
      <c r="P1" s="26"/>
      <c r="Q1" s="26"/>
      <c r="R1" s="26"/>
      <c r="S1" s="26"/>
      <c r="T1" s="26"/>
      <c r="U1" s="27"/>
      <c r="V1" s="27"/>
      <c r="W1" s="7"/>
      <c r="X1" s="7"/>
      <c r="Y1" s="7"/>
    </row>
    <row r="2" spans="1:25" ht="18.75" x14ac:dyDescent="0.3">
      <c r="A2" s="28" t="s">
        <v>26</v>
      </c>
      <c r="B2" s="29" t="s">
        <v>44</v>
      </c>
      <c r="C2" s="30">
        <v>30</v>
      </c>
      <c r="D2" s="30">
        <v>0</v>
      </c>
      <c r="E2" s="31">
        <f t="shared" ref="E2:E18" si="0">D2/C2</f>
        <v>0</v>
      </c>
      <c r="F2" s="32">
        <v>0</v>
      </c>
      <c r="G2" s="30">
        <v>0</v>
      </c>
      <c r="H2" s="33">
        <v>0</v>
      </c>
      <c r="I2" s="30">
        <f t="shared" ref="I2:I18" si="1">SUM(F2:H2)</f>
        <v>0</v>
      </c>
      <c r="J2" s="34">
        <f t="shared" ref="J2:J18" si="2">I2/120</f>
        <v>0</v>
      </c>
      <c r="K2" s="35">
        <f>E2*0.1+J2*0.9</f>
        <v>0</v>
      </c>
      <c r="L2" s="36"/>
      <c r="M2" s="37"/>
      <c r="N2" s="37"/>
      <c r="O2" s="37"/>
      <c r="P2" s="37"/>
      <c r="Q2" s="37"/>
      <c r="R2" s="37"/>
      <c r="S2" s="37"/>
      <c r="T2" s="37"/>
      <c r="U2" s="7"/>
      <c r="V2" s="7"/>
      <c r="W2" s="7"/>
      <c r="X2" s="7"/>
      <c r="Y2" s="7"/>
    </row>
    <row r="3" spans="1:25" ht="18.75" x14ac:dyDescent="0.3">
      <c r="A3" s="28" t="s">
        <v>27</v>
      </c>
      <c r="B3" s="29" t="s">
        <v>45</v>
      </c>
      <c r="C3" s="30">
        <v>30</v>
      </c>
      <c r="D3" s="30">
        <v>0</v>
      </c>
      <c r="E3" s="31">
        <f t="shared" si="0"/>
        <v>0</v>
      </c>
      <c r="F3" s="32">
        <v>0</v>
      </c>
      <c r="G3" s="30">
        <v>0</v>
      </c>
      <c r="H3" s="33">
        <v>0</v>
      </c>
      <c r="I3" s="30">
        <f t="shared" si="1"/>
        <v>0</v>
      </c>
      <c r="J3" s="34">
        <f t="shared" si="2"/>
        <v>0</v>
      </c>
      <c r="K3" s="35">
        <f t="shared" ref="K3:K17" si="3">E3*0.1+J3*0.9</f>
        <v>0</v>
      </c>
      <c r="L3" s="36"/>
      <c r="M3" s="37"/>
      <c r="N3" s="37"/>
      <c r="O3" s="37"/>
      <c r="P3" s="37"/>
      <c r="Q3" s="37"/>
      <c r="R3" s="37"/>
      <c r="S3" s="37"/>
      <c r="T3" s="37"/>
      <c r="U3" s="7"/>
      <c r="V3" s="7"/>
      <c r="W3" s="7"/>
      <c r="X3" s="7"/>
      <c r="Y3" s="7"/>
    </row>
    <row r="4" spans="1:25" ht="18.75" x14ac:dyDescent="0.3">
      <c r="A4" s="28" t="s">
        <v>28</v>
      </c>
      <c r="B4" s="29" t="s">
        <v>46</v>
      </c>
      <c r="C4" s="30">
        <v>30</v>
      </c>
      <c r="D4" s="30">
        <v>0</v>
      </c>
      <c r="E4" s="31">
        <f t="shared" si="0"/>
        <v>0</v>
      </c>
      <c r="F4" s="32">
        <v>0</v>
      </c>
      <c r="G4" s="30">
        <v>0</v>
      </c>
      <c r="H4" s="33">
        <v>0</v>
      </c>
      <c r="I4" s="30">
        <f t="shared" si="1"/>
        <v>0</v>
      </c>
      <c r="J4" s="34">
        <f t="shared" si="2"/>
        <v>0</v>
      </c>
      <c r="K4" s="35">
        <f t="shared" si="3"/>
        <v>0</v>
      </c>
      <c r="L4" s="36"/>
      <c r="M4" s="37"/>
      <c r="N4" s="37"/>
      <c r="O4" s="37"/>
      <c r="P4" s="37"/>
      <c r="Q4" s="37"/>
      <c r="R4" s="37"/>
      <c r="S4" s="37"/>
      <c r="T4" s="37"/>
      <c r="U4" s="7"/>
      <c r="V4" s="7"/>
      <c r="W4" s="7"/>
      <c r="X4" s="7"/>
      <c r="Y4" s="7"/>
    </row>
    <row r="5" spans="1:25" ht="18.75" x14ac:dyDescent="0.3">
      <c r="A5" s="28" t="s">
        <v>29</v>
      </c>
      <c r="B5" s="29" t="s">
        <v>47</v>
      </c>
      <c r="C5" s="30">
        <v>30</v>
      </c>
      <c r="D5" s="30">
        <v>0</v>
      </c>
      <c r="E5" s="31">
        <f t="shared" si="0"/>
        <v>0</v>
      </c>
      <c r="F5" s="32">
        <v>0</v>
      </c>
      <c r="G5" s="30">
        <v>0</v>
      </c>
      <c r="H5" s="33">
        <v>0</v>
      </c>
      <c r="I5" s="30">
        <f t="shared" si="1"/>
        <v>0</v>
      </c>
      <c r="J5" s="34">
        <f t="shared" si="2"/>
        <v>0</v>
      </c>
      <c r="K5" s="35">
        <f t="shared" si="3"/>
        <v>0</v>
      </c>
      <c r="L5" s="36"/>
      <c r="M5" s="37"/>
      <c r="N5" s="37"/>
      <c r="O5" s="37"/>
      <c r="P5" s="37"/>
      <c r="Q5" s="37"/>
      <c r="R5" s="37"/>
      <c r="S5" s="37"/>
      <c r="T5" s="37"/>
      <c r="U5" s="7"/>
      <c r="V5" s="7"/>
      <c r="W5" s="7"/>
      <c r="X5" s="7"/>
      <c r="Y5" s="7"/>
    </row>
    <row r="6" spans="1:25" ht="18.75" x14ac:dyDescent="0.3">
      <c r="A6" s="28" t="s">
        <v>62</v>
      </c>
      <c r="B6" s="29" t="s">
        <v>48</v>
      </c>
      <c r="C6" s="30">
        <v>30</v>
      </c>
      <c r="D6" s="30">
        <v>0</v>
      </c>
      <c r="E6" s="31">
        <f t="shared" si="0"/>
        <v>0</v>
      </c>
      <c r="F6" s="32">
        <v>0</v>
      </c>
      <c r="G6" s="30">
        <v>0</v>
      </c>
      <c r="H6" s="33">
        <v>0</v>
      </c>
      <c r="I6" s="30">
        <f t="shared" si="1"/>
        <v>0</v>
      </c>
      <c r="J6" s="34">
        <f t="shared" si="2"/>
        <v>0</v>
      </c>
      <c r="K6" s="35">
        <f t="shared" si="3"/>
        <v>0</v>
      </c>
      <c r="L6" s="36"/>
      <c r="M6" s="37"/>
      <c r="N6" s="37"/>
      <c r="O6" s="37"/>
      <c r="P6" s="37"/>
      <c r="Q6" s="37"/>
      <c r="R6" s="37"/>
      <c r="S6" s="37"/>
      <c r="T6" s="37"/>
      <c r="U6" s="7"/>
      <c r="V6" s="7"/>
      <c r="W6" s="7"/>
      <c r="X6" s="7"/>
      <c r="Y6" s="7"/>
    </row>
    <row r="7" spans="1:25" ht="18.75" x14ac:dyDescent="0.3">
      <c r="A7" s="28" t="s">
        <v>63</v>
      </c>
      <c r="B7" s="29" t="s">
        <v>49</v>
      </c>
      <c r="C7" s="30">
        <v>30</v>
      </c>
      <c r="D7" s="30">
        <v>0</v>
      </c>
      <c r="E7" s="31">
        <f t="shared" si="0"/>
        <v>0</v>
      </c>
      <c r="F7" s="32">
        <v>0</v>
      </c>
      <c r="G7" s="30">
        <v>0</v>
      </c>
      <c r="H7" s="33">
        <v>0</v>
      </c>
      <c r="I7" s="30">
        <f t="shared" si="1"/>
        <v>0</v>
      </c>
      <c r="J7" s="34">
        <f t="shared" si="2"/>
        <v>0</v>
      </c>
      <c r="K7" s="35">
        <f t="shared" si="3"/>
        <v>0</v>
      </c>
      <c r="L7" s="36"/>
      <c r="M7" s="37"/>
      <c r="N7" s="37"/>
      <c r="O7" s="37"/>
      <c r="P7" s="37"/>
      <c r="Q7" s="37"/>
      <c r="R7" s="37"/>
      <c r="S7" s="37"/>
      <c r="T7" s="37"/>
      <c r="U7" s="7"/>
      <c r="V7" s="7"/>
      <c r="W7" s="7"/>
      <c r="X7" s="7"/>
      <c r="Y7" s="7"/>
    </row>
    <row r="8" spans="1:25" ht="18.75" x14ac:dyDescent="0.3">
      <c r="A8" s="28" t="s">
        <v>64</v>
      </c>
      <c r="B8" s="29" t="s">
        <v>50</v>
      </c>
      <c r="C8" s="30">
        <v>30</v>
      </c>
      <c r="D8" s="30">
        <v>0</v>
      </c>
      <c r="E8" s="31">
        <f t="shared" si="0"/>
        <v>0</v>
      </c>
      <c r="F8" s="32">
        <v>0</v>
      </c>
      <c r="G8" s="30">
        <v>0</v>
      </c>
      <c r="H8" s="33">
        <v>0</v>
      </c>
      <c r="I8" s="30">
        <f t="shared" si="1"/>
        <v>0</v>
      </c>
      <c r="J8" s="34">
        <f t="shared" si="2"/>
        <v>0</v>
      </c>
      <c r="K8" s="35">
        <f t="shared" si="3"/>
        <v>0</v>
      </c>
      <c r="L8" s="36"/>
      <c r="M8" s="37"/>
      <c r="N8" s="37"/>
      <c r="O8" s="37"/>
      <c r="P8" s="37"/>
      <c r="Q8" s="37"/>
      <c r="R8" s="37"/>
      <c r="S8" s="37"/>
      <c r="T8" s="37"/>
      <c r="U8" s="7"/>
      <c r="V8" s="7"/>
      <c r="W8" s="7"/>
      <c r="X8" s="7"/>
      <c r="Y8" s="7"/>
    </row>
    <row r="9" spans="1:25" ht="18.75" x14ac:dyDescent="0.3">
      <c r="A9" s="28" t="s">
        <v>65</v>
      </c>
      <c r="B9" s="29" t="s">
        <v>51</v>
      </c>
      <c r="C9" s="30">
        <v>30</v>
      </c>
      <c r="D9" s="30">
        <v>0</v>
      </c>
      <c r="E9" s="31">
        <f t="shared" si="0"/>
        <v>0</v>
      </c>
      <c r="F9" s="32">
        <v>0</v>
      </c>
      <c r="G9" s="30">
        <v>0</v>
      </c>
      <c r="H9" s="33">
        <v>0</v>
      </c>
      <c r="I9" s="30">
        <f t="shared" si="1"/>
        <v>0</v>
      </c>
      <c r="J9" s="34">
        <f t="shared" si="2"/>
        <v>0</v>
      </c>
      <c r="K9" s="35">
        <f t="shared" si="3"/>
        <v>0</v>
      </c>
      <c r="L9" s="36"/>
      <c r="M9" s="37"/>
      <c r="N9" s="37"/>
      <c r="O9" s="37"/>
      <c r="P9" s="37"/>
      <c r="Q9" s="37"/>
      <c r="R9" s="37"/>
      <c r="S9" s="37"/>
      <c r="T9" s="37"/>
      <c r="U9" s="7"/>
      <c r="V9" s="7"/>
      <c r="W9" s="7"/>
      <c r="X9" s="7"/>
      <c r="Y9" s="7"/>
    </row>
    <row r="10" spans="1:25" ht="18.75" x14ac:dyDescent="0.3">
      <c r="A10" s="28" t="s">
        <v>66</v>
      </c>
      <c r="B10" s="29" t="s">
        <v>52</v>
      </c>
      <c r="C10" s="30">
        <v>30</v>
      </c>
      <c r="D10" s="30">
        <v>0</v>
      </c>
      <c r="E10" s="31">
        <f t="shared" si="0"/>
        <v>0</v>
      </c>
      <c r="F10" s="32">
        <v>0</v>
      </c>
      <c r="G10" s="30">
        <v>0</v>
      </c>
      <c r="H10" s="33">
        <v>0</v>
      </c>
      <c r="I10" s="30">
        <f t="shared" si="1"/>
        <v>0</v>
      </c>
      <c r="J10" s="34">
        <f t="shared" si="2"/>
        <v>0</v>
      </c>
      <c r="K10" s="35">
        <f t="shared" si="3"/>
        <v>0</v>
      </c>
      <c r="L10" s="36"/>
      <c r="M10" s="37"/>
      <c r="N10" s="37"/>
      <c r="O10" s="37"/>
      <c r="P10" s="37"/>
      <c r="Q10" s="37"/>
      <c r="R10" s="37"/>
      <c r="S10" s="37"/>
      <c r="T10" s="37"/>
      <c r="U10" s="7"/>
      <c r="V10" s="7"/>
      <c r="W10" s="7"/>
      <c r="X10" s="7"/>
      <c r="Y10" s="7"/>
    </row>
    <row r="11" spans="1:25" ht="18.75" x14ac:dyDescent="0.3">
      <c r="A11" s="28" t="s">
        <v>67</v>
      </c>
      <c r="B11" s="29" t="s">
        <v>53</v>
      </c>
      <c r="C11" s="30">
        <v>30</v>
      </c>
      <c r="D11" s="30">
        <v>0</v>
      </c>
      <c r="E11" s="31">
        <f t="shared" si="0"/>
        <v>0</v>
      </c>
      <c r="F11" s="32">
        <v>0</v>
      </c>
      <c r="G11" s="30">
        <v>0</v>
      </c>
      <c r="H11" s="33">
        <v>0</v>
      </c>
      <c r="I11" s="30">
        <f t="shared" si="1"/>
        <v>0</v>
      </c>
      <c r="J11" s="34">
        <f t="shared" si="2"/>
        <v>0</v>
      </c>
      <c r="K11" s="35">
        <f t="shared" si="3"/>
        <v>0</v>
      </c>
      <c r="L11" s="36"/>
      <c r="M11" s="37"/>
      <c r="N11" s="37"/>
      <c r="O11" s="37"/>
      <c r="P11" s="37"/>
      <c r="Q11" s="37"/>
      <c r="R11" s="37"/>
      <c r="S11" s="37"/>
      <c r="T11" s="37"/>
      <c r="U11" s="7"/>
      <c r="V11" s="7"/>
      <c r="W11" s="7"/>
      <c r="X11" s="7"/>
      <c r="Y11" s="7"/>
    </row>
    <row r="12" spans="1:25" ht="18.75" x14ac:dyDescent="0.3">
      <c r="A12" s="28" t="s">
        <v>68</v>
      </c>
      <c r="B12" s="29" t="s">
        <v>55</v>
      </c>
      <c r="C12" s="30">
        <v>30</v>
      </c>
      <c r="D12" s="30">
        <v>0</v>
      </c>
      <c r="E12" s="31">
        <f t="shared" si="0"/>
        <v>0</v>
      </c>
      <c r="F12" s="32">
        <v>0</v>
      </c>
      <c r="G12" s="30">
        <v>0</v>
      </c>
      <c r="H12" s="33">
        <v>0</v>
      </c>
      <c r="I12" s="30">
        <f t="shared" si="1"/>
        <v>0</v>
      </c>
      <c r="J12" s="34">
        <f t="shared" si="2"/>
        <v>0</v>
      </c>
      <c r="K12" s="35">
        <f t="shared" si="3"/>
        <v>0</v>
      </c>
      <c r="L12" s="36"/>
      <c r="M12" s="37"/>
      <c r="N12" s="37"/>
      <c r="O12" s="37"/>
      <c r="P12" s="37"/>
      <c r="Q12" s="37"/>
      <c r="R12" s="37"/>
      <c r="S12" s="37"/>
      <c r="T12" s="37"/>
      <c r="U12" s="7"/>
      <c r="V12" s="7"/>
      <c r="W12" s="7"/>
      <c r="X12" s="7"/>
      <c r="Y12" s="7"/>
    </row>
    <row r="13" spans="1:25" ht="18.75" x14ac:dyDescent="0.3">
      <c r="A13" s="28" t="s">
        <v>69</v>
      </c>
      <c r="B13" s="29" t="s">
        <v>54</v>
      </c>
      <c r="C13" s="30">
        <v>30</v>
      </c>
      <c r="D13" s="30">
        <v>0</v>
      </c>
      <c r="E13" s="31">
        <f t="shared" si="0"/>
        <v>0</v>
      </c>
      <c r="F13" s="32">
        <v>0</v>
      </c>
      <c r="G13" s="30">
        <v>0</v>
      </c>
      <c r="H13" s="33">
        <v>0</v>
      </c>
      <c r="I13" s="30">
        <f t="shared" si="1"/>
        <v>0</v>
      </c>
      <c r="J13" s="34">
        <f t="shared" si="2"/>
        <v>0</v>
      </c>
      <c r="K13" s="35">
        <f t="shared" si="3"/>
        <v>0</v>
      </c>
      <c r="L13" s="36"/>
      <c r="M13" s="37"/>
      <c r="N13" s="37"/>
      <c r="O13" s="37"/>
      <c r="P13" s="37"/>
      <c r="Q13" s="37"/>
      <c r="R13" s="37"/>
      <c r="S13" s="37"/>
      <c r="T13" s="37"/>
      <c r="U13" s="7"/>
      <c r="V13" s="7"/>
      <c r="W13" s="7"/>
      <c r="X13" s="7"/>
      <c r="Y13" s="7"/>
    </row>
    <row r="14" spans="1:25" ht="18.75" x14ac:dyDescent="0.3">
      <c r="A14" s="28" t="s">
        <v>70</v>
      </c>
      <c r="B14" s="29" t="s">
        <v>56</v>
      </c>
      <c r="C14" s="30">
        <v>30</v>
      </c>
      <c r="D14" s="30">
        <v>0</v>
      </c>
      <c r="E14" s="31">
        <f t="shared" si="0"/>
        <v>0</v>
      </c>
      <c r="F14" s="32">
        <v>0</v>
      </c>
      <c r="G14" s="30">
        <v>0</v>
      </c>
      <c r="H14" s="33">
        <v>0</v>
      </c>
      <c r="I14" s="30">
        <f t="shared" si="1"/>
        <v>0</v>
      </c>
      <c r="J14" s="34">
        <f t="shared" si="2"/>
        <v>0</v>
      </c>
      <c r="K14" s="35">
        <f t="shared" si="3"/>
        <v>0</v>
      </c>
      <c r="L14" s="36"/>
      <c r="M14" s="37"/>
      <c r="N14" s="37"/>
      <c r="O14" s="37"/>
      <c r="P14" s="37"/>
      <c r="Q14" s="37"/>
      <c r="R14" s="37"/>
      <c r="S14" s="37"/>
      <c r="T14" s="37"/>
      <c r="U14" s="7"/>
      <c r="V14" s="7"/>
      <c r="W14" s="7"/>
      <c r="X14" s="7"/>
      <c r="Y14" s="7"/>
    </row>
    <row r="15" spans="1:25" ht="18.75" x14ac:dyDescent="0.3">
      <c r="A15" s="28" t="s">
        <v>71</v>
      </c>
      <c r="B15" s="29" t="s">
        <v>57</v>
      </c>
      <c r="C15" s="30">
        <v>30</v>
      </c>
      <c r="D15" s="30">
        <v>0</v>
      </c>
      <c r="E15" s="31">
        <f t="shared" si="0"/>
        <v>0</v>
      </c>
      <c r="F15" s="32">
        <v>0</v>
      </c>
      <c r="G15" s="30">
        <v>0</v>
      </c>
      <c r="H15" s="33">
        <v>0</v>
      </c>
      <c r="I15" s="30">
        <f t="shared" si="1"/>
        <v>0</v>
      </c>
      <c r="J15" s="34">
        <f t="shared" si="2"/>
        <v>0</v>
      </c>
      <c r="K15" s="35">
        <f t="shared" si="3"/>
        <v>0</v>
      </c>
      <c r="L15" s="36"/>
      <c r="M15" s="37"/>
      <c r="N15" s="37"/>
      <c r="O15" s="37"/>
      <c r="P15" s="37"/>
      <c r="Q15" s="37"/>
      <c r="R15" s="37"/>
      <c r="S15" s="37"/>
      <c r="T15" s="37"/>
      <c r="U15" s="7"/>
      <c r="V15" s="7"/>
      <c r="W15" s="7"/>
      <c r="X15" s="7"/>
      <c r="Y15" s="7"/>
    </row>
    <row r="16" spans="1:25" ht="18.75" x14ac:dyDescent="0.3">
      <c r="A16" s="28" t="s">
        <v>72</v>
      </c>
      <c r="B16" s="29" t="s">
        <v>58</v>
      </c>
      <c r="C16" s="30">
        <v>30</v>
      </c>
      <c r="D16" s="30">
        <v>0</v>
      </c>
      <c r="E16" s="31">
        <f t="shared" si="0"/>
        <v>0</v>
      </c>
      <c r="F16" s="32">
        <v>0</v>
      </c>
      <c r="G16" s="30">
        <v>0</v>
      </c>
      <c r="H16" s="33">
        <v>0</v>
      </c>
      <c r="I16" s="30">
        <f t="shared" si="1"/>
        <v>0</v>
      </c>
      <c r="J16" s="34">
        <f t="shared" si="2"/>
        <v>0</v>
      </c>
      <c r="K16" s="35">
        <f t="shared" si="3"/>
        <v>0</v>
      </c>
      <c r="L16" s="36"/>
      <c r="M16" s="37"/>
      <c r="N16" s="37"/>
      <c r="O16" s="37"/>
      <c r="P16" s="37"/>
      <c r="Q16" s="37"/>
      <c r="R16" s="37"/>
      <c r="S16" s="37"/>
      <c r="T16" s="37"/>
      <c r="U16" s="7"/>
      <c r="V16" s="7"/>
      <c r="W16" s="7"/>
      <c r="X16" s="7"/>
      <c r="Y16" s="7"/>
    </row>
    <row r="17" spans="1:25" ht="18.75" x14ac:dyDescent="0.3">
      <c r="A17" s="28" t="s">
        <v>73</v>
      </c>
      <c r="B17" s="29" t="s">
        <v>59</v>
      </c>
      <c r="C17" s="30">
        <v>30</v>
      </c>
      <c r="D17" s="30">
        <v>0</v>
      </c>
      <c r="E17" s="31">
        <f t="shared" si="0"/>
        <v>0</v>
      </c>
      <c r="F17" s="32">
        <v>0</v>
      </c>
      <c r="G17" s="30">
        <v>0</v>
      </c>
      <c r="H17" s="33">
        <v>0</v>
      </c>
      <c r="I17" s="30">
        <f t="shared" si="1"/>
        <v>0</v>
      </c>
      <c r="J17" s="34">
        <f t="shared" si="2"/>
        <v>0</v>
      </c>
      <c r="K17" s="35">
        <f t="shared" si="3"/>
        <v>0</v>
      </c>
      <c r="L17" s="36"/>
      <c r="M17" s="37"/>
      <c r="N17" s="37"/>
      <c r="O17" s="37"/>
      <c r="P17" s="37"/>
      <c r="Q17" s="37"/>
      <c r="R17" s="37"/>
      <c r="S17" s="37"/>
      <c r="T17" s="37"/>
      <c r="U17" s="7"/>
      <c r="V17" s="7"/>
      <c r="W17" s="7"/>
      <c r="X17" s="7"/>
      <c r="Y17" s="7"/>
    </row>
    <row r="18" spans="1:25" ht="18.75" x14ac:dyDescent="0.3">
      <c r="A18" s="28" t="s">
        <v>74</v>
      </c>
      <c r="B18" s="29" t="s">
        <v>60</v>
      </c>
      <c r="C18" s="30">
        <v>30</v>
      </c>
      <c r="D18" s="30">
        <v>0</v>
      </c>
      <c r="E18" s="31">
        <f t="shared" si="0"/>
        <v>0</v>
      </c>
      <c r="F18" s="32">
        <v>0</v>
      </c>
      <c r="G18" s="30">
        <v>0</v>
      </c>
      <c r="H18" s="33">
        <v>0</v>
      </c>
      <c r="I18" s="30">
        <f t="shared" si="1"/>
        <v>0</v>
      </c>
      <c r="J18" s="34">
        <f t="shared" si="2"/>
        <v>0</v>
      </c>
      <c r="K18" s="35">
        <f t="shared" ref="K18" si="4">E18*0.1+J18*0.9</f>
        <v>0</v>
      </c>
      <c r="L18" s="36"/>
      <c r="M18" s="37"/>
      <c r="N18" s="37"/>
      <c r="O18" s="37"/>
      <c r="P18" s="37"/>
      <c r="Q18" s="37"/>
      <c r="R18" s="37"/>
      <c r="S18" s="37"/>
      <c r="T18" s="37"/>
      <c r="U18" s="7"/>
      <c r="V18" s="7"/>
      <c r="W18" s="7"/>
      <c r="X18" s="7"/>
      <c r="Y18" s="7"/>
    </row>
    <row r="19" spans="1:25" x14ac:dyDescent="0.25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7"/>
      <c r="V19" s="7"/>
      <c r="W19" s="7"/>
      <c r="X19" s="7"/>
      <c r="Y19" s="7"/>
    </row>
    <row r="20" spans="1:25" ht="15.75" customHeight="1" x14ac:dyDescent="0.3">
      <c r="A20" s="37"/>
      <c r="B20" s="37"/>
      <c r="C20" s="37"/>
      <c r="D20" s="37"/>
      <c r="E20" s="39" t="s">
        <v>30</v>
      </c>
      <c r="F20" s="38">
        <v>1</v>
      </c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7"/>
      <c r="V20" s="7"/>
      <c r="W20" s="7"/>
      <c r="X20" s="7"/>
      <c r="Y20" s="7"/>
    </row>
    <row r="21" spans="1:25" ht="15.75" customHeight="1" x14ac:dyDescent="0.3">
      <c r="A21" s="37"/>
      <c r="B21" s="37"/>
      <c r="C21" s="37"/>
      <c r="D21" s="37"/>
      <c r="E21" s="40" t="s">
        <v>31</v>
      </c>
      <c r="F21" s="38">
        <v>2</v>
      </c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7"/>
      <c r="V21" s="7"/>
      <c r="W21" s="7"/>
      <c r="X21" s="7"/>
      <c r="Y21" s="7"/>
    </row>
    <row r="22" spans="1:25" ht="15.75" customHeight="1" x14ac:dyDescent="0.3">
      <c r="A22" s="37"/>
      <c r="B22" s="37"/>
      <c r="C22" s="37"/>
      <c r="D22" s="37"/>
      <c r="E22" s="40" t="s">
        <v>32</v>
      </c>
      <c r="F22" s="38">
        <v>3</v>
      </c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7"/>
      <c r="V22" s="7"/>
      <c r="W22" s="7"/>
      <c r="X22" s="7"/>
      <c r="Y22" s="7"/>
    </row>
    <row r="23" spans="1:25" ht="15.75" customHeight="1" x14ac:dyDescent="0.3">
      <c r="A23" s="37"/>
      <c r="B23" s="37"/>
      <c r="C23" s="37"/>
      <c r="D23" s="37"/>
      <c r="E23" s="40" t="s">
        <v>33</v>
      </c>
      <c r="F23" s="38">
        <v>4</v>
      </c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7"/>
      <c r="V23" s="7"/>
      <c r="W23" s="7"/>
      <c r="X23" s="7"/>
      <c r="Y23" s="7"/>
    </row>
    <row r="24" spans="1:25" ht="15.75" customHeight="1" x14ac:dyDescent="0.3">
      <c r="A24" s="37"/>
      <c r="B24" s="37"/>
      <c r="C24" s="37"/>
      <c r="D24" s="37"/>
      <c r="E24" s="40" t="s">
        <v>34</v>
      </c>
      <c r="F24" s="38">
        <v>5</v>
      </c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7"/>
      <c r="V24" s="7"/>
      <c r="W24" s="7"/>
      <c r="X24" s="7"/>
      <c r="Y24" s="7"/>
    </row>
    <row r="25" spans="1:25" ht="15.75" customHeight="1" x14ac:dyDescent="0.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7"/>
      <c r="V25" s="7"/>
      <c r="W25" s="7"/>
      <c r="X25" s="7"/>
      <c r="Y25" s="7"/>
    </row>
    <row r="26" spans="1:25" ht="15.75" customHeight="1" x14ac:dyDescent="0.25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7"/>
      <c r="V26" s="7"/>
      <c r="W26" s="7"/>
      <c r="X26" s="7"/>
      <c r="Y26" s="7"/>
    </row>
    <row r="27" spans="1:25" ht="15.75" customHeight="1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7"/>
      <c r="V27" s="7"/>
      <c r="W27" s="7"/>
      <c r="X27" s="7"/>
      <c r="Y27" s="7"/>
    </row>
    <row r="28" spans="1:25" ht="15.75" customHeight="1" x14ac:dyDescent="0.25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7"/>
      <c r="V28" s="7"/>
      <c r="W28" s="7"/>
      <c r="X28" s="7"/>
      <c r="Y28" s="7"/>
    </row>
    <row r="29" spans="1:25" ht="15.75" customHeight="1" x14ac:dyDescent="0.25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7"/>
      <c r="V29" s="7"/>
      <c r="W29" s="7"/>
      <c r="X29" s="7"/>
      <c r="Y29" s="7"/>
    </row>
    <row r="30" spans="1:25" ht="15.75" customHeight="1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7"/>
      <c r="V30" s="7"/>
      <c r="W30" s="7"/>
      <c r="X30" s="7"/>
      <c r="Y30" s="7"/>
    </row>
    <row r="31" spans="1:25" ht="15.75" customHeight="1" x14ac:dyDescent="0.2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7"/>
      <c r="V31" s="7"/>
      <c r="W31" s="7"/>
      <c r="X31" s="7"/>
      <c r="Y31" s="7"/>
    </row>
    <row r="32" spans="1:25" ht="15.75" customHeight="1" x14ac:dyDescent="0.2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7"/>
      <c r="V32" s="7"/>
      <c r="W32" s="7"/>
      <c r="X32" s="7"/>
      <c r="Y32" s="7"/>
    </row>
    <row r="33" spans="1:25" ht="15.75" customHeight="1" x14ac:dyDescent="0.2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7"/>
      <c r="V33" s="7"/>
      <c r="W33" s="7"/>
      <c r="X33" s="7"/>
      <c r="Y33" s="7"/>
    </row>
    <row r="34" spans="1:25" ht="15.75" customHeight="1" x14ac:dyDescent="0.2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7"/>
      <c r="V34" s="7"/>
      <c r="W34" s="7"/>
      <c r="X34" s="7"/>
      <c r="Y34" s="7"/>
    </row>
    <row r="35" spans="1:25" ht="15.75" customHeight="1" x14ac:dyDescent="0.2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7"/>
      <c r="V35" s="7"/>
      <c r="W35" s="7"/>
      <c r="X35" s="7"/>
      <c r="Y35" s="7"/>
    </row>
    <row r="36" spans="1:25" ht="15.75" customHeight="1" x14ac:dyDescent="0.25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7"/>
      <c r="V36" s="7"/>
      <c r="W36" s="7"/>
      <c r="X36" s="7"/>
      <c r="Y36" s="7"/>
    </row>
    <row r="37" spans="1:25" ht="15.75" customHeight="1" x14ac:dyDescent="0.25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7"/>
      <c r="V37" s="7"/>
      <c r="W37" s="7"/>
      <c r="X37" s="7"/>
      <c r="Y37" s="7"/>
    </row>
    <row r="38" spans="1:25" ht="15.75" customHeight="1" x14ac:dyDescent="0.25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7"/>
      <c r="V38" s="7"/>
      <c r="W38" s="7"/>
      <c r="X38" s="7"/>
      <c r="Y38" s="7"/>
    </row>
    <row r="39" spans="1:25" ht="15.75" customHeight="1" x14ac:dyDescent="0.2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7"/>
      <c r="V39" s="7"/>
      <c r="W39" s="7"/>
      <c r="X39" s="7"/>
      <c r="Y39" s="7"/>
    </row>
    <row r="40" spans="1:25" ht="15.75" customHeight="1" x14ac:dyDescent="0.25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7"/>
      <c r="V40" s="7"/>
      <c r="W40" s="7"/>
      <c r="X40" s="7"/>
      <c r="Y40" s="7"/>
    </row>
    <row r="41" spans="1:25" ht="15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5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5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5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5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5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15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5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15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5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15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5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15.75" customHeight="1" x14ac:dyDescent="0.25">
      <c r="U53" s="7"/>
      <c r="V53" s="7"/>
      <c r="W53" s="7"/>
      <c r="X53" s="7"/>
      <c r="Y53" s="7"/>
    </row>
    <row r="54" spans="1:25" ht="15.75" customHeight="1" x14ac:dyDescent="0.25">
      <c r="U54" s="7"/>
      <c r="V54" s="7"/>
      <c r="W54" s="7"/>
      <c r="X54" s="7"/>
      <c r="Y54" s="7"/>
    </row>
    <row r="55" spans="1:25" ht="15.75" customHeight="1" x14ac:dyDescent="0.25">
      <c r="U55" s="7"/>
      <c r="V55" s="7"/>
      <c r="W55" s="7"/>
      <c r="X55" s="7"/>
      <c r="Y55" s="7"/>
    </row>
    <row r="56" spans="1:25" ht="15.75" customHeight="1" x14ac:dyDescent="0.25">
      <c r="U56" s="7"/>
      <c r="V56" s="7"/>
      <c r="W56" s="7"/>
      <c r="X56" s="7"/>
      <c r="Y56" s="7"/>
    </row>
    <row r="57" spans="1:25" ht="15.75" customHeight="1" x14ac:dyDescent="0.25">
      <c r="U57" s="7"/>
      <c r="V57" s="7"/>
      <c r="W57" s="7"/>
      <c r="X57" s="7"/>
      <c r="Y57" s="7"/>
    </row>
    <row r="58" spans="1:25" ht="15.75" customHeight="1" x14ac:dyDescent="0.25">
      <c r="U58" s="7"/>
      <c r="V58" s="7"/>
      <c r="W58" s="7"/>
      <c r="X58" s="7"/>
      <c r="Y58" s="7"/>
    </row>
    <row r="59" spans="1:25" ht="15.75" customHeight="1" x14ac:dyDescent="0.25">
      <c r="U59" s="7"/>
      <c r="V59" s="7"/>
      <c r="W59" s="7"/>
      <c r="X59" s="7"/>
      <c r="Y59" s="7"/>
    </row>
    <row r="60" spans="1:25" ht="15.75" customHeight="1" x14ac:dyDescent="0.25">
      <c r="U60" s="7"/>
      <c r="V60" s="7"/>
      <c r="W60" s="7"/>
      <c r="X60" s="7"/>
      <c r="Y60" s="7"/>
    </row>
    <row r="61" spans="1:25" ht="15.75" customHeight="1" x14ac:dyDescent="0.25">
      <c r="U61" s="7"/>
      <c r="V61" s="7"/>
      <c r="W61" s="7"/>
      <c r="X61" s="7"/>
      <c r="Y61" s="7"/>
    </row>
    <row r="62" spans="1:25" ht="15.75" customHeight="1" x14ac:dyDescent="0.25">
      <c r="U62" s="7"/>
      <c r="V62" s="7"/>
      <c r="W62" s="7"/>
      <c r="X62" s="7"/>
      <c r="Y62" s="7"/>
    </row>
    <row r="63" spans="1:25" ht="15.75" customHeight="1" x14ac:dyDescent="0.25">
      <c r="U63" s="7"/>
      <c r="V63" s="7"/>
      <c r="W63" s="7"/>
      <c r="X63" s="7"/>
      <c r="Y63" s="7"/>
    </row>
    <row r="64" spans="1:25" ht="15.75" customHeight="1" x14ac:dyDescent="0.25">
      <c r="U64" s="7"/>
      <c r="V64" s="7"/>
      <c r="W64" s="7"/>
      <c r="X64" s="7"/>
      <c r="Y64" s="7"/>
    </row>
    <row r="65" spans="21:25" ht="15.75" customHeight="1" x14ac:dyDescent="0.25">
      <c r="U65" s="7"/>
      <c r="V65" s="7"/>
      <c r="W65" s="7"/>
      <c r="X65" s="7"/>
      <c r="Y65" s="7"/>
    </row>
    <row r="66" spans="21:25" ht="15.75" customHeight="1" x14ac:dyDescent="0.25">
      <c r="U66" s="7"/>
      <c r="V66" s="7"/>
      <c r="W66" s="7"/>
      <c r="X66" s="7"/>
      <c r="Y66" s="7"/>
    </row>
    <row r="67" spans="21:25" ht="15.75" customHeight="1" x14ac:dyDescent="0.25">
      <c r="U67" s="7"/>
      <c r="V67" s="7"/>
      <c r="W67" s="7"/>
      <c r="X67" s="7"/>
      <c r="Y67" s="7"/>
    </row>
    <row r="68" spans="21:25" ht="15.75" customHeight="1" x14ac:dyDescent="0.25">
      <c r="U68" s="7"/>
      <c r="V68" s="7"/>
      <c r="W68" s="7"/>
      <c r="X68" s="7"/>
      <c r="Y68" s="7"/>
    </row>
    <row r="69" spans="21:25" ht="15.75" customHeight="1" x14ac:dyDescent="0.25">
      <c r="U69" s="7"/>
      <c r="V69" s="7"/>
      <c r="W69" s="7"/>
      <c r="X69" s="7"/>
      <c r="Y69" s="7"/>
    </row>
    <row r="70" spans="21:25" ht="15.75" customHeight="1" x14ac:dyDescent="0.25">
      <c r="U70" s="7"/>
      <c r="V70" s="7"/>
      <c r="W70" s="7"/>
      <c r="X70" s="7"/>
      <c r="Y70" s="7"/>
    </row>
    <row r="71" spans="21:25" ht="15.75" customHeight="1" x14ac:dyDescent="0.25">
      <c r="U71" s="7"/>
      <c r="V71" s="7"/>
      <c r="W71" s="7"/>
      <c r="X71" s="7"/>
      <c r="Y71" s="7"/>
    </row>
    <row r="72" spans="21:25" ht="15.75" customHeight="1" x14ac:dyDescent="0.25">
      <c r="U72" s="7"/>
      <c r="V72" s="7"/>
      <c r="W72" s="7"/>
      <c r="X72" s="7"/>
      <c r="Y72" s="7"/>
    </row>
    <row r="73" spans="21:25" ht="15.75" customHeight="1" x14ac:dyDescent="0.25">
      <c r="U73" s="7"/>
      <c r="V73" s="7"/>
      <c r="W73" s="7"/>
      <c r="X73" s="7"/>
      <c r="Y73" s="7"/>
    </row>
    <row r="74" spans="21:25" ht="15.75" customHeight="1" x14ac:dyDescent="0.25">
      <c r="U74" s="7"/>
      <c r="V74" s="7"/>
      <c r="W74" s="7"/>
      <c r="X74" s="7"/>
      <c r="Y74" s="7"/>
    </row>
    <row r="75" spans="21:25" ht="15.75" customHeight="1" x14ac:dyDescent="0.25">
      <c r="U75" s="7"/>
      <c r="V75" s="7"/>
      <c r="W75" s="7"/>
      <c r="X75" s="7"/>
      <c r="Y75" s="7"/>
    </row>
    <row r="76" spans="21:25" ht="15.75" customHeight="1" x14ac:dyDescent="0.25">
      <c r="U76" s="7"/>
      <c r="V76" s="7"/>
      <c r="W76" s="7"/>
      <c r="X76" s="7"/>
      <c r="Y76" s="7"/>
    </row>
    <row r="77" spans="21:25" ht="15.75" customHeight="1" x14ac:dyDescent="0.25">
      <c r="U77" s="7"/>
      <c r="V77" s="7"/>
      <c r="W77" s="7"/>
      <c r="X77" s="7"/>
      <c r="Y77" s="7"/>
    </row>
    <row r="78" spans="21:25" ht="15.75" customHeight="1" x14ac:dyDescent="0.25">
      <c r="U78" s="7"/>
      <c r="V78" s="7"/>
      <c r="W78" s="7"/>
      <c r="X78" s="7"/>
      <c r="Y78" s="7"/>
    </row>
    <row r="79" spans="21:25" ht="15.75" customHeight="1" x14ac:dyDescent="0.25">
      <c r="U79" s="7"/>
      <c r="V79" s="7"/>
      <c r="W79" s="7"/>
      <c r="X79" s="7"/>
      <c r="Y79" s="7"/>
    </row>
    <row r="80" spans="21:25" ht="15.75" customHeight="1" x14ac:dyDescent="0.25">
      <c r="U80" s="7"/>
      <c r="V80" s="7"/>
      <c r="W80" s="7"/>
      <c r="X80" s="7"/>
      <c r="Y80" s="7"/>
    </row>
    <row r="81" spans="21:25" ht="15.75" customHeight="1" x14ac:dyDescent="0.25">
      <c r="U81" s="7"/>
      <c r="V81" s="7"/>
      <c r="W81" s="7"/>
      <c r="X81" s="7"/>
      <c r="Y81" s="7"/>
    </row>
    <row r="82" spans="21:25" ht="15.75" customHeight="1" x14ac:dyDescent="0.25">
      <c r="U82" s="7"/>
      <c r="V82" s="7"/>
      <c r="W82" s="7"/>
      <c r="X82" s="7"/>
      <c r="Y82" s="7"/>
    </row>
    <row r="83" spans="21:25" ht="15.75" customHeight="1" x14ac:dyDescent="0.25">
      <c r="U83" s="7"/>
      <c r="V83" s="7"/>
      <c r="W83" s="7"/>
      <c r="X83" s="7"/>
      <c r="Y83" s="7"/>
    </row>
    <row r="84" spans="21:25" ht="15.75" customHeight="1" x14ac:dyDescent="0.25">
      <c r="U84" s="7"/>
      <c r="V84" s="7"/>
      <c r="W84" s="7"/>
      <c r="X84" s="7"/>
      <c r="Y84" s="7"/>
    </row>
    <row r="85" spans="21:25" ht="15.75" customHeight="1" x14ac:dyDescent="0.25">
      <c r="U85" s="7"/>
      <c r="V85" s="7"/>
      <c r="W85" s="7"/>
      <c r="X85" s="7"/>
      <c r="Y85" s="7"/>
    </row>
    <row r="86" spans="21:25" ht="15.75" customHeight="1" x14ac:dyDescent="0.25">
      <c r="U86" s="7"/>
      <c r="V86" s="7"/>
      <c r="W86" s="7"/>
      <c r="X86" s="7"/>
      <c r="Y86" s="7"/>
    </row>
    <row r="87" spans="21:25" ht="15.75" customHeight="1" x14ac:dyDescent="0.25">
      <c r="U87" s="7"/>
      <c r="V87" s="7"/>
      <c r="W87" s="7"/>
      <c r="X87" s="7"/>
      <c r="Y87" s="7"/>
    </row>
    <row r="88" spans="21:25" ht="15.75" customHeight="1" x14ac:dyDescent="0.25">
      <c r="U88" s="7"/>
      <c r="V88" s="7"/>
      <c r="W88" s="7"/>
      <c r="X88" s="7"/>
      <c r="Y88" s="7"/>
    </row>
    <row r="89" spans="21:25" ht="15.75" customHeight="1" x14ac:dyDescent="0.25">
      <c r="U89" s="7"/>
      <c r="V89" s="7"/>
      <c r="W89" s="7"/>
      <c r="X89" s="7"/>
      <c r="Y89" s="7"/>
    </row>
    <row r="90" spans="21:25" ht="15.75" customHeight="1" x14ac:dyDescent="0.25">
      <c r="U90" s="7"/>
      <c r="V90" s="7"/>
      <c r="W90" s="7"/>
      <c r="X90" s="7"/>
      <c r="Y90" s="7"/>
    </row>
    <row r="91" spans="21:25" ht="15.75" customHeight="1" x14ac:dyDescent="0.25">
      <c r="U91" s="7"/>
      <c r="V91" s="7"/>
      <c r="W91" s="7"/>
      <c r="X91" s="7"/>
      <c r="Y91" s="7"/>
    </row>
    <row r="92" spans="21:25" ht="15.75" customHeight="1" x14ac:dyDescent="0.25">
      <c r="U92" s="7"/>
      <c r="V92" s="7"/>
      <c r="W92" s="7"/>
      <c r="X92" s="7"/>
      <c r="Y92" s="7"/>
    </row>
    <row r="93" spans="21:25" ht="15.75" customHeight="1" x14ac:dyDescent="0.25">
      <c r="U93" s="7"/>
      <c r="V93" s="7"/>
      <c r="W93" s="7"/>
      <c r="X93" s="7"/>
      <c r="Y93" s="7"/>
    </row>
    <row r="94" spans="21:25" ht="15.75" customHeight="1" x14ac:dyDescent="0.25">
      <c r="U94" s="7"/>
      <c r="V94" s="7"/>
      <c r="W94" s="7"/>
      <c r="X94" s="7"/>
      <c r="Y94" s="7"/>
    </row>
    <row r="95" spans="21:25" ht="15.75" customHeight="1" x14ac:dyDescent="0.25">
      <c r="U95" s="7"/>
      <c r="V95" s="7"/>
      <c r="W95" s="7"/>
      <c r="X95" s="7"/>
      <c r="Y95" s="7"/>
    </row>
    <row r="96" spans="21:25" ht="15.75" customHeight="1" x14ac:dyDescent="0.25">
      <c r="U96" s="7"/>
      <c r="V96" s="7"/>
      <c r="W96" s="7"/>
      <c r="X96" s="7"/>
      <c r="Y96" s="7"/>
    </row>
    <row r="97" spans="21:25" ht="15.75" customHeight="1" x14ac:dyDescent="0.25">
      <c r="U97" s="7"/>
      <c r="V97" s="7"/>
      <c r="W97" s="7"/>
      <c r="X97" s="7"/>
      <c r="Y97" s="7"/>
    </row>
    <row r="98" spans="21:25" ht="15.75" customHeight="1" x14ac:dyDescent="0.25">
      <c r="U98" s="7"/>
      <c r="V98" s="7"/>
      <c r="W98" s="7"/>
      <c r="X98" s="7"/>
      <c r="Y98" s="7"/>
    </row>
    <row r="99" spans="21:25" ht="15.75" customHeight="1" x14ac:dyDescent="0.25">
      <c r="U99" s="7"/>
      <c r="V99" s="7"/>
      <c r="W99" s="7"/>
      <c r="X99" s="7"/>
      <c r="Y99" s="7"/>
    </row>
    <row r="100" spans="21:25" ht="15.75" customHeight="1" x14ac:dyDescent="0.25">
      <c r="U100" s="7"/>
      <c r="V100" s="7"/>
      <c r="W100" s="7"/>
      <c r="X100" s="7"/>
      <c r="Y100" s="7"/>
    </row>
    <row r="101" spans="21:25" ht="15.75" customHeight="1" x14ac:dyDescent="0.25">
      <c r="U101" s="7"/>
      <c r="V101" s="7"/>
      <c r="W101" s="7"/>
      <c r="X101" s="7"/>
      <c r="Y101" s="7"/>
    </row>
    <row r="102" spans="21:25" ht="15.75" customHeight="1" x14ac:dyDescent="0.25">
      <c r="U102" s="7"/>
      <c r="V102" s="7"/>
      <c r="W102" s="7"/>
      <c r="X102" s="7"/>
      <c r="Y102" s="7"/>
    </row>
    <row r="103" spans="21:25" ht="15.75" customHeight="1" x14ac:dyDescent="0.25">
      <c r="U103" s="7"/>
      <c r="V103" s="7"/>
      <c r="W103" s="7"/>
      <c r="X103" s="7"/>
      <c r="Y103" s="7"/>
    </row>
    <row r="104" spans="21:25" ht="15.75" customHeight="1" x14ac:dyDescent="0.25">
      <c r="U104" s="7"/>
      <c r="V104" s="7"/>
      <c r="W104" s="7"/>
      <c r="X104" s="7"/>
      <c r="Y104" s="7"/>
    </row>
    <row r="105" spans="21:25" ht="15.75" customHeight="1" x14ac:dyDescent="0.25">
      <c r="U105" s="7"/>
      <c r="V105" s="7"/>
      <c r="W105" s="7"/>
      <c r="X105" s="7"/>
      <c r="Y105" s="7"/>
    </row>
    <row r="106" spans="21:25" ht="15.75" customHeight="1" x14ac:dyDescent="0.25">
      <c r="U106" s="7"/>
      <c r="V106" s="7"/>
      <c r="W106" s="7"/>
      <c r="X106" s="7"/>
      <c r="Y106" s="7"/>
    </row>
    <row r="107" spans="21:25" ht="15.75" customHeight="1" x14ac:dyDescent="0.25">
      <c r="U107" s="7"/>
      <c r="V107" s="7"/>
      <c r="W107" s="7"/>
      <c r="X107" s="7"/>
      <c r="Y107" s="7"/>
    </row>
    <row r="108" spans="21:25" ht="15.75" customHeight="1" x14ac:dyDescent="0.25">
      <c r="U108" s="7"/>
      <c r="V108" s="7"/>
      <c r="W108" s="7"/>
      <c r="X108" s="7"/>
      <c r="Y108" s="7"/>
    </row>
    <row r="109" spans="21:25" ht="15.75" customHeight="1" x14ac:dyDescent="0.25">
      <c r="U109" s="7"/>
      <c r="V109" s="7"/>
      <c r="W109" s="7"/>
      <c r="X109" s="7"/>
      <c r="Y109" s="7"/>
    </row>
    <row r="110" spans="21:25" ht="15.75" customHeight="1" x14ac:dyDescent="0.25">
      <c r="U110" s="7"/>
      <c r="V110" s="7"/>
      <c r="W110" s="7"/>
      <c r="X110" s="7"/>
      <c r="Y110" s="7"/>
    </row>
    <row r="111" spans="21:25" ht="15.75" customHeight="1" x14ac:dyDescent="0.25">
      <c r="U111" s="7"/>
      <c r="V111" s="7"/>
      <c r="W111" s="7"/>
      <c r="X111" s="7"/>
      <c r="Y111" s="7"/>
    </row>
    <row r="112" spans="21:25" ht="15.75" customHeight="1" x14ac:dyDescent="0.25">
      <c r="U112" s="7"/>
      <c r="V112" s="7"/>
      <c r="W112" s="7"/>
      <c r="X112" s="7"/>
      <c r="Y112" s="7"/>
    </row>
    <row r="113" spans="21:25" ht="15.75" customHeight="1" x14ac:dyDescent="0.25">
      <c r="U113" s="7"/>
      <c r="V113" s="7"/>
      <c r="W113" s="7"/>
      <c r="X113" s="7"/>
      <c r="Y113" s="7"/>
    </row>
    <row r="114" spans="21:25" ht="15.75" customHeight="1" x14ac:dyDescent="0.25">
      <c r="U114" s="7"/>
      <c r="V114" s="7"/>
      <c r="W114" s="7"/>
      <c r="X114" s="7"/>
      <c r="Y114" s="7"/>
    </row>
    <row r="115" spans="21:25" ht="15.75" customHeight="1" x14ac:dyDescent="0.25">
      <c r="U115" s="7"/>
      <c r="V115" s="7"/>
      <c r="W115" s="7"/>
      <c r="X115" s="7"/>
      <c r="Y115" s="7"/>
    </row>
    <row r="116" spans="21:25" ht="15.75" customHeight="1" x14ac:dyDescent="0.25">
      <c r="U116" s="7"/>
      <c r="V116" s="7"/>
      <c r="W116" s="7"/>
      <c r="X116" s="7"/>
      <c r="Y116" s="7"/>
    </row>
    <row r="117" spans="21:25" ht="15.75" customHeight="1" x14ac:dyDescent="0.25">
      <c r="U117" s="7"/>
      <c r="V117" s="7"/>
      <c r="W117" s="7"/>
      <c r="X117" s="7"/>
      <c r="Y117" s="7"/>
    </row>
    <row r="118" spans="21:25" ht="15.75" customHeight="1" x14ac:dyDescent="0.25">
      <c r="U118" s="7"/>
      <c r="V118" s="7"/>
      <c r="W118" s="7"/>
      <c r="X118" s="7"/>
      <c r="Y118" s="7"/>
    </row>
    <row r="119" spans="21:25" ht="15.75" customHeight="1" x14ac:dyDescent="0.25">
      <c r="U119" s="7"/>
      <c r="V119" s="7"/>
      <c r="W119" s="7"/>
      <c r="X119" s="7"/>
      <c r="Y119" s="7"/>
    </row>
    <row r="120" spans="21:25" ht="15.75" customHeight="1" x14ac:dyDescent="0.25">
      <c r="U120" s="7"/>
      <c r="V120" s="7"/>
      <c r="W120" s="7"/>
      <c r="X120" s="7"/>
      <c r="Y120" s="7"/>
    </row>
    <row r="121" spans="21:25" ht="15.75" customHeight="1" x14ac:dyDescent="0.25">
      <c r="U121" s="7"/>
      <c r="V121" s="7"/>
      <c r="W121" s="7"/>
      <c r="X121" s="7"/>
      <c r="Y121" s="7"/>
    </row>
    <row r="122" spans="21:25" ht="15.75" customHeight="1" x14ac:dyDescent="0.25">
      <c r="U122" s="7"/>
      <c r="V122" s="7"/>
      <c r="W122" s="7"/>
      <c r="X122" s="7"/>
      <c r="Y122" s="7"/>
    </row>
    <row r="123" spans="21:25" ht="15.75" customHeight="1" x14ac:dyDescent="0.25">
      <c r="U123" s="7"/>
      <c r="V123" s="7"/>
      <c r="W123" s="7"/>
      <c r="X123" s="7"/>
      <c r="Y123" s="7"/>
    </row>
    <row r="124" spans="21:25" ht="15.75" customHeight="1" x14ac:dyDescent="0.25">
      <c r="U124" s="7"/>
      <c r="V124" s="7"/>
      <c r="W124" s="7"/>
      <c r="X124" s="7"/>
      <c r="Y124" s="7"/>
    </row>
    <row r="125" spans="21:25" ht="15.75" customHeight="1" x14ac:dyDescent="0.25">
      <c r="U125" s="7"/>
      <c r="V125" s="7"/>
      <c r="W125" s="7"/>
      <c r="X125" s="7"/>
      <c r="Y125" s="7"/>
    </row>
    <row r="126" spans="21:25" ht="15.75" customHeight="1" x14ac:dyDescent="0.25">
      <c r="U126" s="7"/>
      <c r="V126" s="7"/>
      <c r="W126" s="7"/>
      <c r="X126" s="7"/>
      <c r="Y126" s="7"/>
    </row>
    <row r="127" spans="21:25" ht="15.75" customHeight="1" x14ac:dyDescent="0.25">
      <c r="U127" s="7"/>
      <c r="V127" s="7"/>
      <c r="W127" s="7"/>
      <c r="X127" s="7"/>
      <c r="Y127" s="7"/>
    </row>
    <row r="128" spans="21:25" ht="15.75" customHeight="1" x14ac:dyDescent="0.25">
      <c r="U128" s="7"/>
      <c r="V128" s="7"/>
      <c r="W128" s="7"/>
      <c r="X128" s="7"/>
      <c r="Y128" s="7"/>
    </row>
    <row r="129" spans="21:25" ht="15.75" customHeight="1" x14ac:dyDescent="0.25">
      <c r="U129" s="7"/>
      <c r="V129" s="7"/>
      <c r="W129" s="7"/>
      <c r="X129" s="7"/>
      <c r="Y129" s="7"/>
    </row>
    <row r="130" spans="21:25" ht="15.75" customHeight="1" x14ac:dyDescent="0.25">
      <c r="U130" s="7"/>
      <c r="V130" s="7"/>
      <c r="W130" s="7"/>
      <c r="X130" s="7"/>
      <c r="Y130" s="7"/>
    </row>
    <row r="131" spans="21:25" ht="15.75" customHeight="1" x14ac:dyDescent="0.25">
      <c r="U131" s="7"/>
      <c r="V131" s="7"/>
      <c r="W131" s="7"/>
      <c r="X131" s="7"/>
      <c r="Y131" s="7"/>
    </row>
    <row r="132" spans="21:25" ht="15.75" customHeight="1" x14ac:dyDescent="0.25">
      <c r="U132" s="7"/>
      <c r="V132" s="7"/>
      <c r="W132" s="7"/>
      <c r="X132" s="7"/>
      <c r="Y132" s="7"/>
    </row>
    <row r="133" spans="21:25" ht="15.75" customHeight="1" x14ac:dyDescent="0.25">
      <c r="U133" s="7"/>
      <c r="V133" s="7"/>
      <c r="W133" s="7"/>
      <c r="X133" s="7"/>
      <c r="Y133" s="7"/>
    </row>
    <row r="134" spans="21:25" ht="15.75" customHeight="1" x14ac:dyDescent="0.25">
      <c r="U134" s="7"/>
      <c r="V134" s="7"/>
      <c r="W134" s="7"/>
      <c r="X134" s="7"/>
      <c r="Y134" s="7"/>
    </row>
    <row r="135" spans="21:25" ht="15.75" customHeight="1" x14ac:dyDescent="0.25">
      <c r="U135" s="7"/>
      <c r="V135" s="7"/>
      <c r="W135" s="7"/>
      <c r="X135" s="7"/>
      <c r="Y135" s="7"/>
    </row>
    <row r="136" spans="21:25" ht="15.75" customHeight="1" x14ac:dyDescent="0.25">
      <c r="U136" s="7"/>
      <c r="V136" s="7"/>
      <c r="W136" s="7"/>
      <c r="X136" s="7"/>
      <c r="Y136" s="7"/>
    </row>
    <row r="137" spans="21:25" ht="15.75" customHeight="1" x14ac:dyDescent="0.25">
      <c r="U137" s="7"/>
      <c r="V137" s="7"/>
      <c r="W137" s="7"/>
      <c r="X137" s="7"/>
      <c r="Y137" s="7"/>
    </row>
    <row r="138" spans="21:25" ht="15.75" customHeight="1" x14ac:dyDescent="0.25">
      <c r="U138" s="7"/>
      <c r="V138" s="7"/>
      <c r="W138" s="7"/>
      <c r="X138" s="7"/>
      <c r="Y138" s="7"/>
    </row>
    <row r="139" spans="21:25" ht="15.75" customHeight="1" x14ac:dyDescent="0.25">
      <c r="U139" s="7"/>
      <c r="V139" s="7"/>
      <c r="W139" s="7"/>
      <c r="X139" s="7"/>
      <c r="Y139" s="7"/>
    </row>
    <row r="140" spans="21:25" ht="15.75" customHeight="1" x14ac:dyDescent="0.25">
      <c r="U140" s="7"/>
      <c r="V140" s="7"/>
      <c r="W140" s="7"/>
      <c r="X140" s="7"/>
      <c r="Y140" s="7"/>
    </row>
    <row r="141" spans="21:25" ht="15.75" customHeight="1" x14ac:dyDescent="0.25">
      <c r="U141" s="7"/>
      <c r="V141" s="7"/>
      <c r="W141" s="7"/>
      <c r="X141" s="7"/>
      <c r="Y141" s="7"/>
    </row>
    <row r="142" spans="21:25" ht="15.75" customHeight="1" x14ac:dyDescent="0.25">
      <c r="U142" s="7"/>
      <c r="V142" s="7"/>
      <c r="W142" s="7"/>
      <c r="X142" s="7"/>
      <c r="Y142" s="7"/>
    </row>
    <row r="143" spans="21:25" ht="15.75" customHeight="1" x14ac:dyDescent="0.25">
      <c r="U143" s="7"/>
      <c r="V143" s="7"/>
      <c r="W143" s="7"/>
      <c r="X143" s="7"/>
      <c r="Y143" s="7"/>
    </row>
    <row r="144" spans="21:25" ht="15.75" customHeight="1" x14ac:dyDescent="0.25">
      <c r="U144" s="7"/>
      <c r="V144" s="7"/>
      <c r="W144" s="7"/>
      <c r="X144" s="7"/>
      <c r="Y144" s="7"/>
    </row>
    <row r="145" spans="21:25" ht="15.75" customHeight="1" x14ac:dyDescent="0.25">
      <c r="U145" s="7"/>
      <c r="V145" s="7"/>
      <c r="W145" s="7"/>
      <c r="X145" s="7"/>
      <c r="Y145" s="7"/>
    </row>
    <row r="146" spans="21:25" ht="15.75" customHeight="1" x14ac:dyDescent="0.25">
      <c r="U146" s="7"/>
      <c r="V146" s="7"/>
      <c r="W146" s="7"/>
      <c r="X146" s="7"/>
      <c r="Y146" s="7"/>
    </row>
    <row r="147" spans="21:25" ht="15.75" customHeight="1" x14ac:dyDescent="0.25">
      <c r="U147" s="7"/>
      <c r="V147" s="7"/>
      <c r="W147" s="7"/>
      <c r="X147" s="7"/>
      <c r="Y147" s="7"/>
    </row>
    <row r="148" spans="21:25" ht="15.75" customHeight="1" x14ac:dyDescent="0.25">
      <c r="U148" s="7"/>
      <c r="V148" s="7"/>
      <c r="W148" s="7"/>
      <c r="X148" s="7"/>
      <c r="Y148" s="7"/>
    </row>
    <row r="149" spans="21:25" ht="15.75" customHeight="1" x14ac:dyDescent="0.25">
      <c r="U149" s="7"/>
      <c r="V149" s="7"/>
      <c r="W149" s="7"/>
      <c r="X149" s="7"/>
      <c r="Y149" s="7"/>
    </row>
    <row r="150" spans="21:25" ht="15.75" customHeight="1" x14ac:dyDescent="0.25">
      <c r="U150" s="7"/>
      <c r="V150" s="7"/>
      <c r="W150" s="7"/>
      <c r="X150" s="7"/>
      <c r="Y150" s="7"/>
    </row>
    <row r="151" spans="21:25" ht="15.75" customHeight="1" x14ac:dyDescent="0.25">
      <c r="U151" s="7"/>
      <c r="V151" s="7"/>
      <c r="W151" s="7"/>
      <c r="X151" s="7"/>
      <c r="Y151" s="7"/>
    </row>
    <row r="152" spans="21:25" ht="15.75" customHeight="1" x14ac:dyDescent="0.25">
      <c r="U152" s="7"/>
      <c r="V152" s="7"/>
      <c r="W152" s="7"/>
      <c r="X152" s="7"/>
      <c r="Y152" s="7"/>
    </row>
    <row r="153" spans="21:25" ht="15.75" customHeight="1" x14ac:dyDescent="0.25">
      <c r="U153" s="7"/>
      <c r="V153" s="7"/>
      <c r="W153" s="7"/>
      <c r="X153" s="7"/>
      <c r="Y153" s="7"/>
    </row>
    <row r="154" spans="21:25" ht="15.75" customHeight="1" x14ac:dyDescent="0.25">
      <c r="U154" s="7"/>
      <c r="V154" s="7"/>
      <c r="W154" s="7"/>
      <c r="X154" s="7"/>
      <c r="Y154" s="7"/>
    </row>
    <row r="155" spans="21:25" ht="15.75" customHeight="1" x14ac:dyDescent="0.25">
      <c r="U155" s="7"/>
      <c r="V155" s="7"/>
      <c r="W155" s="7"/>
      <c r="X155" s="7"/>
      <c r="Y155" s="7"/>
    </row>
    <row r="156" spans="21:25" ht="15.75" customHeight="1" x14ac:dyDescent="0.25">
      <c r="U156" s="7"/>
      <c r="V156" s="7"/>
      <c r="W156" s="7"/>
      <c r="X156" s="7"/>
      <c r="Y156" s="7"/>
    </row>
    <row r="157" spans="21:25" ht="15.75" customHeight="1" x14ac:dyDescent="0.25">
      <c r="U157" s="7"/>
      <c r="V157" s="7"/>
      <c r="W157" s="7"/>
      <c r="X157" s="7"/>
      <c r="Y157" s="7"/>
    </row>
    <row r="158" spans="21:25" ht="15.75" customHeight="1" x14ac:dyDescent="0.25">
      <c r="U158" s="7"/>
      <c r="V158" s="7"/>
      <c r="W158" s="7"/>
      <c r="X158" s="7"/>
      <c r="Y158" s="7"/>
    </row>
    <row r="159" spans="21:25" ht="15.75" customHeight="1" x14ac:dyDescent="0.25">
      <c r="U159" s="7"/>
      <c r="V159" s="7"/>
      <c r="W159" s="7"/>
      <c r="X159" s="7"/>
      <c r="Y159" s="7"/>
    </row>
    <row r="160" spans="21:25" ht="15.75" customHeight="1" x14ac:dyDescent="0.25">
      <c r="U160" s="7"/>
      <c r="V160" s="7"/>
      <c r="W160" s="7"/>
      <c r="X160" s="7"/>
      <c r="Y160" s="7"/>
    </row>
    <row r="161" spans="21:25" ht="15.75" customHeight="1" x14ac:dyDescent="0.25">
      <c r="U161" s="7"/>
      <c r="V161" s="7"/>
      <c r="W161" s="7"/>
      <c r="X161" s="7"/>
      <c r="Y161" s="7"/>
    </row>
    <row r="162" spans="21:25" ht="15.75" customHeight="1" x14ac:dyDescent="0.25">
      <c r="U162" s="7"/>
      <c r="V162" s="7"/>
      <c r="W162" s="7"/>
      <c r="X162" s="7"/>
      <c r="Y162" s="7"/>
    </row>
    <row r="163" spans="21:25" ht="15.75" customHeight="1" x14ac:dyDescent="0.25">
      <c r="U163" s="7"/>
      <c r="V163" s="7"/>
      <c r="W163" s="7"/>
      <c r="X163" s="7"/>
      <c r="Y163" s="7"/>
    </row>
    <row r="164" spans="21:25" ht="15.75" customHeight="1" x14ac:dyDescent="0.25">
      <c r="U164" s="7"/>
      <c r="V164" s="7"/>
      <c r="W164" s="7"/>
      <c r="X164" s="7"/>
      <c r="Y164" s="7"/>
    </row>
    <row r="165" spans="21:25" ht="15.75" customHeight="1" x14ac:dyDescent="0.25">
      <c r="U165" s="7"/>
      <c r="V165" s="7"/>
      <c r="W165" s="7"/>
      <c r="X165" s="7"/>
      <c r="Y165" s="7"/>
    </row>
    <row r="166" spans="21:25" ht="15.75" customHeight="1" x14ac:dyDescent="0.25">
      <c r="U166" s="7"/>
      <c r="V166" s="7"/>
      <c r="W166" s="7"/>
      <c r="X166" s="7"/>
      <c r="Y166" s="7"/>
    </row>
    <row r="167" spans="21:25" ht="15.75" customHeight="1" x14ac:dyDescent="0.25">
      <c r="U167" s="7"/>
      <c r="V167" s="7"/>
      <c r="W167" s="7"/>
      <c r="X167" s="7"/>
      <c r="Y167" s="7"/>
    </row>
    <row r="168" spans="21:25" ht="15.75" customHeight="1" x14ac:dyDescent="0.25">
      <c r="U168" s="7"/>
      <c r="V168" s="7"/>
      <c r="W168" s="7"/>
      <c r="X168" s="7"/>
      <c r="Y168" s="7"/>
    </row>
    <row r="169" spans="21:25" ht="15.75" customHeight="1" x14ac:dyDescent="0.25">
      <c r="U169" s="7"/>
      <c r="V169" s="7"/>
      <c r="W169" s="7"/>
      <c r="X169" s="7"/>
      <c r="Y169" s="7"/>
    </row>
    <row r="170" spans="21:25" ht="15.75" customHeight="1" x14ac:dyDescent="0.25">
      <c r="U170" s="7"/>
      <c r="V170" s="7"/>
      <c r="W170" s="7"/>
      <c r="X170" s="7"/>
      <c r="Y170" s="7"/>
    </row>
    <row r="171" spans="21:25" ht="15.75" customHeight="1" x14ac:dyDescent="0.25">
      <c r="U171" s="7"/>
      <c r="V171" s="7"/>
      <c r="W171" s="7"/>
      <c r="X171" s="7"/>
      <c r="Y171" s="7"/>
    </row>
    <row r="172" spans="21:25" ht="15.75" customHeight="1" x14ac:dyDescent="0.25">
      <c r="U172" s="7"/>
      <c r="V172" s="7"/>
      <c r="W172" s="7"/>
      <c r="X172" s="7"/>
      <c r="Y172" s="7"/>
    </row>
    <row r="173" spans="21:25" ht="15.75" customHeight="1" x14ac:dyDescent="0.25">
      <c r="U173" s="7"/>
      <c r="V173" s="7"/>
      <c r="W173" s="7"/>
      <c r="X173" s="7"/>
      <c r="Y173" s="7"/>
    </row>
    <row r="174" spans="21:25" ht="15.75" customHeight="1" x14ac:dyDescent="0.25">
      <c r="U174" s="7"/>
      <c r="V174" s="7"/>
      <c r="W174" s="7"/>
      <c r="X174" s="7"/>
      <c r="Y174" s="7"/>
    </row>
    <row r="175" spans="21:25" ht="15.75" customHeight="1" x14ac:dyDescent="0.25">
      <c r="U175" s="7"/>
      <c r="V175" s="7"/>
      <c r="W175" s="7"/>
      <c r="X175" s="7"/>
      <c r="Y175" s="7"/>
    </row>
    <row r="176" spans="21:25" ht="15.75" customHeight="1" x14ac:dyDescent="0.25">
      <c r="U176" s="7"/>
      <c r="V176" s="7"/>
      <c r="W176" s="7"/>
      <c r="X176" s="7"/>
      <c r="Y176" s="7"/>
    </row>
    <row r="177" spans="21:25" ht="15.75" customHeight="1" x14ac:dyDescent="0.25">
      <c r="U177" s="7"/>
      <c r="V177" s="7"/>
      <c r="W177" s="7"/>
      <c r="X177" s="7"/>
      <c r="Y177" s="7"/>
    </row>
    <row r="178" spans="21:25" ht="15.75" customHeight="1" x14ac:dyDescent="0.25">
      <c r="U178" s="7"/>
      <c r="V178" s="7"/>
      <c r="W178" s="7"/>
      <c r="X178" s="7"/>
      <c r="Y178" s="7"/>
    </row>
    <row r="179" spans="21:25" ht="15.75" customHeight="1" x14ac:dyDescent="0.25"/>
    <row r="180" spans="21:25" ht="15.75" customHeight="1" x14ac:dyDescent="0.25"/>
    <row r="181" spans="21:25" ht="15.75" customHeight="1" x14ac:dyDescent="0.25"/>
    <row r="182" spans="21:25" ht="15.75" customHeight="1" x14ac:dyDescent="0.25"/>
    <row r="183" spans="21:25" ht="15.75" customHeight="1" x14ac:dyDescent="0.25"/>
    <row r="184" spans="21:25" ht="15.75" customHeight="1" x14ac:dyDescent="0.25"/>
    <row r="185" spans="21:25" ht="15.75" customHeight="1" x14ac:dyDescent="0.25"/>
    <row r="186" spans="21:25" ht="15.75" customHeight="1" x14ac:dyDescent="0.25"/>
    <row r="187" spans="21:25" ht="15.75" customHeight="1" x14ac:dyDescent="0.25"/>
    <row r="188" spans="21:25" ht="15.75" customHeight="1" x14ac:dyDescent="0.25"/>
    <row r="189" spans="21:25" ht="15.75" customHeight="1" x14ac:dyDescent="0.25"/>
    <row r="190" spans="21:25" ht="15.75" customHeight="1" x14ac:dyDescent="0.25"/>
    <row r="191" spans="21:25" ht="15.75" customHeight="1" x14ac:dyDescent="0.25"/>
    <row r="192" spans="21:25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honeticPr fontId="19" type="noConversion"/>
  <pageMargins left="0.25" right="0.25" top="0.75" bottom="0.7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Webprogramozas</vt:lpstr>
      <vt:lpstr>Python</vt:lpstr>
      <vt:lpstr>Hálózat</vt:lpstr>
      <vt:lpstr>Összegezés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</dc:creator>
  <cp:lastModifiedBy>Péter Róbert Bodrogi</cp:lastModifiedBy>
  <dcterms:created xsi:type="dcterms:W3CDTF">2023-04-02T15:16:19Z</dcterms:created>
  <dcterms:modified xsi:type="dcterms:W3CDTF">2026-05-27T03:13:52Z</dcterms:modified>
</cp:coreProperties>
</file>